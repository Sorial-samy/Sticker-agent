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avida\"/>
    </mc:Choice>
  </mc:AlternateContent>
  <xr:revisionPtr revIDLastSave="0" documentId="13_ncr:1_{AA192B16-D985-435D-8219-614A5A755229}" xr6:coauthVersionLast="47" xr6:coauthVersionMax="47" xr10:uidLastSave="{00000000-0000-0000-0000-000000000000}"/>
  <bookViews>
    <workbookView minimized="1" xWindow="14970" yWindow="2955" windowWidth="5160" windowHeight="9300" firstSheet="18" activeTab="22" xr2:uid="{29B33C0F-0D49-4724-BF58-FFCB9FE246BF}"/>
  </bookViews>
  <sheets>
    <sheet name="ظرف" sheetId="1" r:id="rId1"/>
    <sheet name="pet كاتشب" sheetId="2" r:id="rId2"/>
    <sheet name="chocolate cream bandito" sheetId="57" r:id="rId3"/>
    <sheet name="Tahini Sauce With Pickled lemon" sheetId="46" r:id="rId4"/>
    <sheet name="Tahini Sauce With green papper" sheetId="47" r:id="rId5"/>
    <sheet name="Tahini Sauce With Chili" sheetId="48" r:id="rId6"/>
    <sheet name="Tahini Sauce With Garlic" sheetId="49" r:id="rId7"/>
    <sheet name="Tahini Sauce Classic" sheetId="50" r:id="rId8"/>
    <sheet name="  Pomegranate molasses" sheetId="3" r:id="rId9"/>
    <sheet name="pet bbq" sheetId="4" r:id="rId10"/>
    <sheet name="MAYO CLS PET" sheetId="6" r:id="rId11"/>
    <sheet name="MAYO SAND PET" sheetId="7" r:id="rId12"/>
    <sheet name="Hot Sauce" sheetId="45" r:id="rId13"/>
    <sheet name="Texas PET" sheetId="8" r:id="rId14"/>
    <sheet name="Liquid Smoke Garlic Herbs" sheetId="54" r:id="rId15"/>
    <sheet name="Liquid Smoke Fish " sheetId="55" r:id="rId16"/>
    <sheet name="Liquid Smoke Hickory" sheetId="56" r:id="rId17"/>
    <sheet name=" Fire Sauce PET" sheetId="10" r:id="rId18"/>
    <sheet name="Ranch PET" sheetId="9" r:id="rId19"/>
    <sheet name=" Texas Vegan Lavida " sheetId="13" r:id="rId20"/>
    <sheet name="  Thousand Island" sheetId="14" r:id="rId21"/>
    <sheet name="spicy Ketchup" sheetId="15" r:id="rId22"/>
    <sheet name="MAYO PET" sheetId="5" r:id="rId23"/>
    <sheet name="Sweet Chilli PET" sheetId="12" r:id="rId24"/>
    <sheet name="Pizza PET" sheetId="11" r:id="rId25"/>
    <sheet name="Rizo" sheetId="17" r:id="rId26"/>
    <sheet name="Harrissa" sheetId="18" r:id="rId27"/>
    <sheet name="Toumaya " sheetId="19" r:id="rId28"/>
    <sheet name="Mayochup " sheetId="20" r:id="rId29"/>
    <sheet name="  Pickled Lemon" sheetId="22" r:id="rId30"/>
    <sheet name="Mustard" sheetId="23" r:id="rId31"/>
    <sheet name="Mexican" sheetId="24" r:id="rId32"/>
    <sheet name="liquid Smoke Beef" sheetId="25" r:id="rId33"/>
    <sheet name="liquid Smoke Chicken" sheetId="26" r:id="rId34"/>
    <sheet name="chili mayo" sheetId="29" r:id="rId35"/>
    <sheet name="Fava beans" sheetId="30" r:id="rId36"/>
    <sheet name="Mayo Honey Mustard" sheetId="31" r:id="rId37"/>
    <sheet name="Honey Mustard" sheetId="32" r:id="rId38"/>
    <sheet name="Thai  Chili" sheetId="33" r:id="rId39"/>
    <sheet name="Coleslaw Sauce" sheetId="34" r:id="rId40"/>
    <sheet name="ketchup buttels" sheetId="35" r:id="rId41"/>
    <sheet name="Algerienne Sauce" sheetId="36" r:id="rId42"/>
    <sheet name="horseradish sauce" sheetId="58" r:id="rId43"/>
    <sheet name=" كاتشب امريكا KEA003" sheetId="59" r:id="rId44"/>
    <sheet name="Honey mustard Amrica" sheetId="60" r:id="rId45"/>
    <sheet name="PINAPPLE BBQ" sheetId="61" r:id="rId46"/>
    <sheet name="Samourai" sheetId="62" r:id="rId4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0" i="45" l="1"/>
  <c r="J71" i="45"/>
  <c r="J72" i="45"/>
  <c r="J73" i="45"/>
  <c r="J74" i="45"/>
  <c r="J75" i="45"/>
  <c r="J76" i="45"/>
  <c r="J77" i="45"/>
  <c r="J78" i="45"/>
  <c r="J79" i="45"/>
  <c r="J69" i="45"/>
  <c r="I70" i="45"/>
  <c r="I71" i="45"/>
  <c r="I72" i="45"/>
  <c r="I73" i="45"/>
  <c r="I74" i="45"/>
  <c r="I75" i="45"/>
  <c r="I76" i="45"/>
  <c r="I77" i="45"/>
  <c r="I78" i="45"/>
  <c r="I79" i="45"/>
  <c r="I69" i="45"/>
  <c r="G70" i="45"/>
  <c r="G71" i="45"/>
  <c r="G72" i="45"/>
  <c r="G73" i="45"/>
  <c r="G74" i="45"/>
  <c r="G75" i="45"/>
  <c r="G76" i="45"/>
  <c r="G77" i="45"/>
  <c r="G78" i="45"/>
  <c r="G79" i="45"/>
  <c r="G80" i="45"/>
  <c r="F70" i="45"/>
  <c r="F71" i="45"/>
  <c r="F72" i="45"/>
  <c r="F73" i="45"/>
  <c r="F74" i="45"/>
  <c r="F75" i="45"/>
  <c r="F76" i="45"/>
  <c r="F77" i="45"/>
  <c r="F78" i="45"/>
  <c r="F79" i="45"/>
  <c r="F80" i="45"/>
  <c r="F69" i="45"/>
  <c r="G69" i="45" s="1"/>
  <c r="H58" i="45"/>
  <c r="H54" i="45"/>
  <c r="H55" i="45"/>
  <c r="H56" i="45"/>
  <c r="H57" i="45"/>
  <c r="H59" i="45"/>
  <c r="G54" i="45"/>
  <c r="G55" i="45"/>
  <c r="G56" i="45"/>
  <c r="G57" i="45"/>
  <c r="G53" i="45"/>
  <c r="E54" i="45"/>
  <c r="E55" i="45"/>
  <c r="E56" i="45"/>
  <c r="E57" i="45"/>
  <c r="E58" i="45"/>
  <c r="E59" i="45"/>
  <c r="E60" i="45"/>
  <c r="E61" i="45"/>
  <c r="E62" i="45"/>
  <c r="E63" i="45"/>
  <c r="E64" i="45"/>
  <c r="E53" i="45"/>
  <c r="E7" i="45"/>
  <c r="F7" i="45" s="1"/>
  <c r="E8" i="45"/>
  <c r="F8" i="45" s="1"/>
  <c r="E9" i="45"/>
  <c r="F9" i="45" s="1"/>
  <c r="E10" i="45"/>
  <c r="F10" i="45" s="1"/>
  <c r="E11" i="45"/>
  <c r="F11" i="45" s="1"/>
  <c r="E12" i="45"/>
  <c r="F12" i="45" s="1"/>
  <c r="E13" i="45"/>
  <c r="F13" i="45" s="1"/>
  <c r="E14" i="45"/>
  <c r="F14" i="45" s="1"/>
  <c r="E15" i="45"/>
  <c r="F15" i="45" s="1"/>
  <c r="E16" i="45"/>
  <c r="F16" i="45" s="1"/>
  <c r="E17" i="45"/>
  <c r="F17" i="45" s="1"/>
  <c r="E18" i="45"/>
  <c r="F18" i="45" s="1"/>
  <c r="G58" i="2"/>
  <c r="F58" i="2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28" i="5"/>
  <c r="H28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27" i="5"/>
  <c r="F27" i="5" s="1"/>
  <c r="J54" i="2"/>
  <c r="K54" i="2" s="1"/>
  <c r="J55" i="2"/>
  <c r="K55" i="2" s="1"/>
  <c r="J57" i="2"/>
  <c r="K57" i="2" s="1"/>
  <c r="J56" i="2"/>
  <c r="K5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G48" i="2"/>
  <c r="F48" i="2" s="1"/>
  <c r="G49" i="2"/>
  <c r="F49" i="2" s="1"/>
  <c r="G50" i="2"/>
  <c r="F50" i="2" s="1"/>
  <c r="G51" i="2"/>
  <c r="F51" i="2" s="1"/>
  <c r="G52" i="2"/>
  <c r="F52" i="2" s="1"/>
  <c r="G53" i="2"/>
  <c r="F53" i="2" s="1"/>
  <c r="G54" i="2"/>
  <c r="F54" i="2" s="1"/>
  <c r="G55" i="2"/>
  <c r="F55" i="2" s="1"/>
  <c r="G56" i="2"/>
  <c r="F56" i="2" s="1"/>
  <c r="G57" i="2"/>
  <c r="F57" i="2" s="1"/>
  <c r="G47" i="2"/>
  <c r="F47" i="2" s="1"/>
  <c r="H60" i="45"/>
  <c r="G66" i="45"/>
</calcChain>
</file>

<file path=xl/sharedStrings.xml><?xml version="1.0" encoding="utf-8"?>
<sst xmlns="http://schemas.openxmlformats.org/spreadsheetml/2006/main" count="2438" uniqueCount="412">
  <si>
    <t>الظرف الواحد</t>
  </si>
  <si>
    <t>علبة 200 ظرف</t>
  </si>
  <si>
    <t>كرتونة 1000 ظرف</t>
  </si>
  <si>
    <r>
      <t xml:space="preserve"> Ketchup Lavida 9 </t>
    </r>
    <r>
      <rPr>
        <b/>
        <sz val="10"/>
        <color theme="1"/>
        <rFont val="Akhbar MT"/>
        <charset val="178"/>
      </rPr>
      <t>g</t>
    </r>
  </si>
  <si>
    <t>Nutrition Facts   الحقائق التغذوية</t>
  </si>
  <si>
    <t xml:space="preserve">Number of servings per package   عدد الحصص بالعبوة </t>
  </si>
  <si>
    <t xml:space="preserve">servings Size   حجم الحصة </t>
  </si>
  <si>
    <t>9 g</t>
  </si>
  <si>
    <r>
      <t xml:space="preserve">Amount per 9 </t>
    </r>
    <r>
      <rPr>
        <b/>
        <sz val="9"/>
        <color theme="1"/>
        <rFont val="Akhbar MT"/>
        <charset val="178"/>
      </rPr>
      <t>g</t>
    </r>
    <r>
      <rPr>
        <b/>
        <sz val="11"/>
        <color theme="1"/>
        <rFont val="Aptos Narrow"/>
        <family val="2"/>
        <scheme val="minor"/>
      </rPr>
      <t xml:space="preserve"> / الكمية لكل 9 جرام </t>
    </r>
  </si>
  <si>
    <t>القيمة اليومية %
 Daily values %</t>
  </si>
  <si>
    <t xml:space="preserve">Calories / السعرات الحرارية                   </t>
  </si>
  <si>
    <t>9.675 cal</t>
  </si>
  <si>
    <t xml:space="preserve">Total Fat / الدهون الكلية جم     </t>
  </si>
  <si>
    <t xml:space="preserve">0.011g </t>
  </si>
  <si>
    <t>Saturated Fat / دهون مشبعة جم</t>
  </si>
  <si>
    <t>0.0004 g</t>
  </si>
  <si>
    <t>Unsaturated Fat / دهون غير مشبعه جم</t>
  </si>
  <si>
    <t>0.0015 g</t>
  </si>
  <si>
    <t xml:space="preserve">Trans Fat / دهون متحولة جم </t>
  </si>
  <si>
    <t xml:space="preserve">0 g </t>
  </si>
  <si>
    <t>Cholesterol / كوليسترول ملجم</t>
  </si>
  <si>
    <t xml:space="preserve">0.9 mg </t>
  </si>
  <si>
    <t>Sodium / صوديوم ملجم</t>
  </si>
  <si>
    <t>72 mg</t>
  </si>
  <si>
    <t>Total carbohydrates /كربوهيدرات كلية جم</t>
  </si>
  <si>
    <t>2.34 g</t>
  </si>
  <si>
    <t>Dietary Fiber / الالياف الغذائية جم</t>
  </si>
  <si>
    <t>0.08 g</t>
  </si>
  <si>
    <t xml:space="preserve">Total Sugars / سكريات كلية جم </t>
  </si>
  <si>
    <t>2.025 g</t>
  </si>
  <si>
    <t>Added sugar / السكر المضاف جم (السكروز)</t>
  </si>
  <si>
    <t>1.8 g</t>
  </si>
  <si>
    <t xml:space="preserve">Protein / بروتين جم      </t>
  </si>
  <si>
    <t>0.054 g</t>
  </si>
  <si>
    <t>Percent Daily Values are based on a 2000 calorie.
تستند النسبة المئوية للقيم اليومية على نظام غذائي يحتوي على 2000 سعرة حراربة</t>
  </si>
  <si>
    <t xml:space="preserve"> Ketchup Lavida PET 430 </t>
  </si>
  <si>
    <t xml:space="preserve"> Ketchup Lavida PET 215 </t>
  </si>
  <si>
    <t>20 g</t>
  </si>
  <si>
    <r>
      <t xml:space="preserve">Amount per 20 </t>
    </r>
    <r>
      <rPr>
        <b/>
        <sz val="9"/>
        <color theme="1"/>
        <rFont val="Akhbar MT"/>
        <charset val="178"/>
      </rPr>
      <t>g</t>
    </r>
    <r>
      <rPr>
        <b/>
        <sz val="11"/>
        <color theme="1"/>
        <rFont val="Aptos Narrow"/>
        <family val="2"/>
        <scheme val="minor"/>
      </rPr>
      <t xml:space="preserve"> / الكمية لكل 20 جرام </t>
    </r>
  </si>
  <si>
    <t>21.5 cal</t>
  </si>
  <si>
    <t xml:space="preserve">0.024g </t>
  </si>
  <si>
    <t>0.0008 g</t>
  </si>
  <si>
    <t>0.003 g</t>
  </si>
  <si>
    <t xml:space="preserve">2 mg </t>
  </si>
  <si>
    <t>160 mg</t>
  </si>
  <si>
    <t>5.2 g</t>
  </si>
  <si>
    <t>0.18 g</t>
  </si>
  <si>
    <t>4.5 g</t>
  </si>
  <si>
    <t>4 g</t>
  </si>
  <si>
    <t>0.12 g</t>
  </si>
  <si>
    <t xml:space="preserve">  Pomegranate molasses  Lavida PET 540 </t>
  </si>
  <si>
    <t xml:space="preserve">  Pomegranate molasses  Lavida PET 260 </t>
  </si>
  <si>
    <t>59.8 cal</t>
  </si>
  <si>
    <t xml:space="preserve">0.006g </t>
  </si>
  <si>
    <t>0 g</t>
  </si>
  <si>
    <t xml:space="preserve">0 mg </t>
  </si>
  <si>
    <t>120 mg</t>
  </si>
  <si>
    <t>14.9 g</t>
  </si>
  <si>
    <t>0.01 g</t>
  </si>
  <si>
    <t>14.8 g</t>
  </si>
  <si>
    <t>13.3 g</t>
  </si>
  <si>
    <t>0.033 g</t>
  </si>
  <si>
    <t xml:space="preserve"> BBQ Lavida PET 430 </t>
  </si>
  <si>
    <t xml:space="preserve"> BBQ Lavida PET 220 </t>
  </si>
  <si>
    <t>22.6 cal</t>
  </si>
  <si>
    <t xml:space="preserve">0.09g </t>
  </si>
  <si>
    <t>0.019 g</t>
  </si>
  <si>
    <t>0.066 g</t>
  </si>
  <si>
    <t xml:space="preserve">1.4 mg </t>
  </si>
  <si>
    <t>191.2 mg</t>
  </si>
  <si>
    <t>5.34 g</t>
  </si>
  <si>
    <t>0.16 g</t>
  </si>
  <si>
    <t>4.48 g</t>
  </si>
  <si>
    <t>4.24 g</t>
  </si>
  <si>
    <t>0.1 g</t>
  </si>
  <si>
    <t xml:space="preserve"> Mayonnaise classic Lavida PET 385</t>
  </si>
  <si>
    <t xml:space="preserve"> Mayonnaise classic Lavida PET 190</t>
  </si>
  <si>
    <t>138  cal</t>
  </si>
  <si>
    <t xml:space="preserve">15 g </t>
  </si>
  <si>
    <t>2.5 g</t>
  </si>
  <si>
    <t>12.1 g</t>
  </si>
  <si>
    <t xml:space="preserve">23.4 mg </t>
  </si>
  <si>
    <t>0.54 g</t>
  </si>
  <si>
    <t>0.05 g</t>
  </si>
  <si>
    <t>0.34 g</t>
  </si>
  <si>
    <t>0.3 g</t>
  </si>
  <si>
    <t xml:space="preserve"> Mayonnaise Sandwich Lavida PET 385</t>
  </si>
  <si>
    <t xml:space="preserve"> Mayonnaise Sandwich Lavida PET 195</t>
  </si>
  <si>
    <t>54.5  cal</t>
  </si>
  <si>
    <t xml:space="preserve">5.18 g </t>
  </si>
  <si>
    <t>0.88 g</t>
  </si>
  <si>
    <t>4.18 g</t>
  </si>
  <si>
    <t xml:space="preserve">7 mg </t>
  </si>
  <si>
    <t>1.86 g</t>
  </si>
  <si>
    <t>0.11 g</t>
  </si>
  <si>
    <t>1.05 g</t>
  </si>
  <si>
    <t>0.118 g</t>
  </si>
  <si>
    <t xml:space="preserve"> Texas Lavida PET 385</t>
  </si>
  <si>
    <t xml:space="preserve"> Texas Lavida PET 195</t>
  </si>
  <si>
    <t>40  cal</t>
  </si>
  <si>
    <t xml:space="preserve">3.6 g </t>
  </si>
  <si>
    <t>0.6 g</t>
  </si>
  <si>
    <t>2.8 g</t>
  </si>
  <si>
    <t xml:space="preserve">2.8 mg </t>
  </si>
  <si>
    <t>366 mg</t>
  </si>
  <si>
    <t>1.9 g</t>
  </si>
  <si>
    <t>0.02 g</t>
  </si>
  <si>
    <t>1.04 g</t>
  </si>
  <si>
    <t>0.04 g</t>
  </si>
  <si>
    <t xml:space="preserve"> Fire Sauce Lavida PET 400</t>
  </si>
  <si>
    <t xml:space="preserve"> Fire Sauce Lavida PET 200</t>
  </si>
  <si>
    <t>53  cal</t>
  </si>
  <si>
    <t xml:space="preserve">4 g </t>
  </si>
  <si>
    <t>0.68 g</t>
  </si>
  <si>
    <t>3.3 g</t>
  </si>
  <si>
    <t xml:space="preserve">6.4 mg </t>
  </si>
  <si>
    <t>112 mg</t>
  </si>
  <si>
    <t>4.1 g</t>
  </si>
  <si>
    <t>0.2 g</t>
  </si>
  <si>
    <t>3.2 g</t>
  </si>
  <si>
    <t xml:space="preserve"> Ranch Sauce Lavida PET 385</t>
  </si>
  <si>
    <t xml:space="preserve"> Ranch Sauce Lavida PET 195</t>
  </si>
  <si>
    <t>49.6  cal</t>
  </si>
  <si>
    <t xml:space="preserve">4.8 g </t>
  </si>
  <si>
    <t>0.8 g</t>
  </si>
  <si>
    <t>3.94 g</t>
  </si>
  <si>
    <t xml:space="preserve">5.2 mg </t>
  </si>
  <si>
    <t>228 mg</t>
  </si>
  <si>
    <t>1.52 g</t>
  </si>
  <si>
    <t>0.028 g</t>
  </si>
  <si>
    <t>0.76 g</t>
  </si>
  <si>
    <t>0.74 g</t>
  </si>
  <si>
    <t xml:space="preserve">Amount per 100 gm / الكمية لكل 100 جرام </t>
  </si>
  <si>
    <t xml:space="preserve"> Ranch Sauce Lavida PET 350</t>
  </si>
  <si>
    <t>214.8 cal</t>
  </si>
  <si>
    <t xml:space="preserve">20 g </t>
  </si>
  <si>
    <t>3 g</t>
  </si>
  <si>
    <t>16 g</t>
  </si>
  <si>
    <t>43  cal</t>
  </si>
  <si>
    <t>26 mg</t>
  </si>
  <si>
    <t>1280 mg</t>
  </si>
  <si>
    <t>8.3 g</t>
  </si>
  <si>
    <t>Added sugar / السكر المضاف جم</t>
  </si>
  <si>
    <t>3.9 g</t>
  </si>
  <si>
    <t>256 mg</t>
  </si>
  <si>
    <t>0.4 g</t>
  </si>
  <si>
    <t>1.66 g</t>
  </si>
  <si>
    <t xml:space="preserve"> Texas Vegan Lavida </t>
  </si>
  <si>
    <t>41  cal</t>
  </si>
  <si>
    <t>365 mg</t>
  </si>
  <si>
    <t>2 g</t>
  </si>
  <si>
    <t xml:space="preserve">   Thousand Island Sauce Lavida PET 420</t>
  </si>
  <si>
    <t xml:space="preserve">   Thousand Island Sauce Lavida PET 210</t>
  </si>
  <si>
    <t>32  cal</t>
  </si>
  <si>
    <t xml:space="preserve">2.1 g </t>
  </si>
  <si>
    <t>0.36 g</t>
  </si>
  <si>
    <t>1.68 g</t>
  </si>
  <si>
    <t xml:space="preserve">4 mg </t>
  </si>
  <si>
    <t>180 mg</t>
  </si>
  <si>
    <t>0.09 g</t>
  </si>
  <si>
    <t>2.3 g</t>
  </si>
  <si>
    <t>2.14 g</t>
  </si>
  <si>
    <t>0.11  g</t>
  </si>
  <si>
    <t xml:space="preserve">spicy Ketchup Lavida PET 430 </t>
  </si>
  <si>
    <t xml:space="preserve">spicy Ketchup Lavida PET 215 </t>
  </si>
  <si>
    <t xml:space="preserve"> Mayonnaise Lavida PET 385</t>
  </si>
  <si>
    <t xml:space="preserve"> Mayonnaise Lavida PET 195</t>
  </si>
  <si>
    <t>53.5  cal</t>
  </si>
  <si>
    <t xml:space="preserve">5.16 g </t>
  </si>
  <si>
    <t>0.86 g</t>
  </si>
  <si>
    <t>113 mg</t>
  </si>
  <si>
    <t>1.74 g</t>
  </si>
  <si>
    <t>351.4 cal</t>
  </si>
  <si>
    <t xml:space="preserve">35 g </t>
  </si>
  <si>
    <t>70.4  cal</t>
  </si>
  <si>
    <t>6 g</t>
  </si>
  <si>
    <t xml:space="preserve">7 g </t>
  </si>
  <si>
    <t>28.5g</t>
  </si>
  <si>
    <t>1.2 g</t>
  </si>
  <si>
    <t>5.7 g</t>
  </si>
  <si>
    <t>35 mg</t>
  </si>
  <si>
    <t>640 mg</t>
  </si>
  <si>
    <t>8.5 g</t>
  </si>
  <si>
    <t>128 mg</t>
  </si>
  <si>
    <t>0.46 g</t>
  </si>
  <si>
    <t>4.35 g</t>
  </si>
  <si>
    <t>4.2 g</t>
  </si>
  <si>
    <t>0.87 g</t>
  </si>
  <si>
    <t>0.84 g</t>
  </si>
  <si>
    <t xml:space="preserve"> Sweet Chilli Sauce  Lavida PET 440</t>
  </si>
  <si>
    <t xml:space="preserve"> Sweet Chilli Sauce  Lavida PET 220</t>
  </si>
  <si>
    <t>23.3  cal</t>
  </si>
  <si>
    <t>184 mg</t>
  </si>
  <si>
    <t>5.8 g</t>
  </si>
  <si>
    <t>5.1 g</t>
  </si>
  <si>
    <t>5 g</t>
  </si>
  <si>
    <t>0.03 g</t>
  </si>
  <si>
    <t xml:space="preserve"> Pizza Sauce  Lavida PET 415</t>
  </si>
  <si>
    <t xml:space="preserve"> Pizza Sauce  Lavida PET 205</t>
  </si>
  <si>
    <t>11  cal</t>
  </si>
  <si>
    <t xml:space="preserve">0.032 g </t>
  </si>
  <si>
    <t>0.007 g</t>
  </si>
  <si>
    <t>108 mg</t>
  </si>
  <si>
    <t>2.4 g</t>
  </si>
  <si>
    <t>1.56 g</t>
  </si>
  <si>
    <t>0.26 g</t>
  </si>
  <si>
    <t>Rizo Sauce Lavida PET 430</t>
  </si>
  <si>
    <t>26.6  cal</t>
  </si>
  <si>
    <t>174 mg</t>
  </si>
  <si>
    <t>6.6 g</t>
  </si>
  <si>
    <t>0.14 g</t>
  </si>
  <si>
    <t>5.48 g</t>
  </si>
  <si>
    <t>5.4 g</t>
  </si>
  <si>
    <t>0.06  g</t>
  </si>
  <si>
    <t>Harrissa  Sauce Lavida PET 420</t>
  </si>
  <si>
    <t>5.28  cal</t>
  </si>
  <si>
    <t xml:space="preserve">0.1 g </t>
  </si>
  <si>
    <t>1 g</t>
  </si>
  <si>
    <t>0.28 g</t>
  </si>
  <si>
    <t>0.01  g</t>
  </si>
  <si>
    <t>Toumaya  Sauce Lavida PET 380</t>
  </si>
  <si>
    <t>36.8  cal</t>
  </si>
  <si>
    <t>2.94 g</t>
  </si>
  <si>
    <t>196 mg</t>
  </si>
  <si>
    <t>1.1 g</t>
  </si>
  <si>
    <t>0.06 g</t>
  </si>
  <si>
    <t>Mayochup  Sauce Lavida PET 420</t>
  </si>
  <si>
    <t>43.3  cal</t>
  </si>
  <si>
    <t xml:space="preserve">3.14 g </t>
  </si>
  <si>
    <t>0.5 g</t>
  </si>
  <si>
    <t xml:space="preserve">6 mg </t>
  </si>
  <si>
    <t>158 mg</t>
  </si>
  <si>
    <t>3.66 g</t>
  </si>
  <si>
    <t>0.07 g</t>
  </si>
  <si>
    <t>2.7 g</t>
  </si>
  <si>
    <t xml:space="preserve">  Pickled Lemon Sauce Lavida PET 410</t>
  </si>
  <si>
    <t>4.08  cal</t>
  </si>
  <si>
    <t>316 mg</t>
  </si>
  <si>
    <t>0.94 g</t>
  </si>
  <si>
    <t>0.08  g</t>
  </si>
  <si>
    <t xml:space="preserve"> Mustard Sauce Lavida PET 400</t>
  </si>
  <si>
    <t>17  cal</t>
  </si>
  <si>
    <t xml:space="preserve">0.88 g </t>
  </si>
  <si>
    <t>330 mg</t>
  </si>
  <si>
    <t>1.64 g</t>
  </si>
  <si>
    <t>0.65  g</t>
  </si>
  <si>
    <t xml:space="preserve"> Mexican Sauce Lavida PET 430</t>
  </si>
  <si>
    <t>16.9  cal</t>
  </si>
  <si>
    <t>149 mg</t>
  </si>
  <si>
    <t>3.24 g</t>
  </si>
  <si>
    <t>0.12  g</t>
  </si>
  <si>
    <t>Lavida Liquid smoke (Beef) 100 ml</t>
  </si>
  <si>
    <t>12.3  cal</t>
  </si>
  <si>
    <t xml:space="preserve">0.32 g </t>
  </si>
  <si>
    <t xml:space="preserve">0.03 g </t>
  </si>
  <si>
    <t xml:space="preserve">0.27 g </t>
  </si>
  <si>
    <t>58.4 mg</t>
  </si>
  <si>
    <t>2.27 g</t>
  </si>
  <si>
    <t>2.2 g</t>
  </si>
  <si>
    <t>Lavida Liquid smoke (Chicken) 100 ml</t>
  </si>
  <si>
    <t>Chili Mayonnaise Lavida</t>
  </si>
  <si>
    <t>Nutrition Facts   الحقائق التغذوية</t>
  </si>
  <si>
    <t>Number of servings per package   عدد الحصص بالعبوة</t>
  </si>
  <si>
    <t>حسب وزن العبوة</t>
  </si>
  <si>
    <t>servings Size   حجم الحصة</t>
  </si>
  <si>
    <t>Amount per 20 g / الكمية لكل 20 جرام</t>
  </si>
  <si>
    <t>القيمة اليومية %</t>
  </si>
  <si>
    <t> Daily values %</t>
  </si>
  <si>
    <t>Calories / السعرات الحرارية                   </t>
  </si>
  <si>
    <t>39.3  cal</t>
  </si>
  <si>
    <t>Total Fat / الدهون الكلية جم     </t>
  </si>
  <si>
    <t>3.6 g</t>
  </si>
  <si>
    <t>0.58 g</t>
  </si>
  <si>
    <t>2.98 g</t>
  </si>
  <si>
    <t>Trans Fat / دهون متحولة جم</t>
  </si>
  <si>
    <t>2.8 mg</t>
  </si>
  <si>
    <t>142 mg</t>
  </si>
  <si>
    <t>Total Sugars / سكريات كلية جم</t>
  </si>
  <si>
    <t>0.7 g</t>
  </si>
  <si>
    <t>Protein / بروتين جم     </t>
  </si>
  <si>
    <t>0.06g</t>
  </si>
  <si>
    <t>Percent Daily Values are based on a 2000 calorie.</t>
  </si>
  <si>
    <t>تستند النسبة المئوية للقيم اليومية على نظام غذائي يحتوي على 2000 سعرة حراربة</t>
  </si>
  <si>
    <t>Fava beans Sauce 60 gm</t>
  </si>
  <si>
    <t>60 g</t>
  </si>
  <si>
    <t>Amount per 60 g / الكمية لكل 60 جرام</t>
  </si>
  <si>
    <t>60  cal</t>
  </si>
  <si>
    <t>2.26 g</t>
  </si>
  <si>
    <t>0.33 g</t>
  </si>
  <si>
    <t>1.82 g</t>
  </si>
  <si>
    <t>0 mg</t>
  </si>
  <si>
    <t>336 mg</t>
  </si>
  <si>
    <t>6.96 g</t>
  </si>
  <si>
    <t>2.74 g</t>
  </si>
  <si>
    <t>0.56 g</t>
  </si>
  <si>
    <t>2.95 g</t>
  </si>
  <si>
    <t>Mayo Honey Mustard   </t>
  </si>
  <si>
    <t>حسب العبوة</t>
  </si>
  <si>
    <t>43  cal</t>
  </si>
  <si>
    <t>1.5 g</t>
  </si>
  <si>
    <t>150 mg</t>
  </si>
  <si>
    <t>6.2 g</t>
  </si>
  <si>
    <t>Honey Mustard   </t>
  </si>
  <si>
    <t>35  cal</t>
  </si>
  <si>
    <t>0.3g</t>
  </si>
  <si>
    <t>0.24 g</t>
  </si>
  <si>
    <t>7.88 g</t>
  </si>
  <si>
    <t>7.3 g</t>
  </si>
  <si>
    <t>Thai Chilli</t>
  </si>
  <si>
    <t>34.75  cal</t>
  </si>
  <si>
    <t>8.34 g</t>
  </si>
  <si>
    <t>0.046 g</t>
  </si>
  <si>
    <t>8 g</t>
  </si>
  <si>
    <t>0.014 g</t>
  </si>
  <si>
    <t>Coleslaw sauce  350 gm</t>
  </si>
  <si>
    <t>51.6  cal</t>
  </si>
  <si>
    <t>5.6 mg</t>
  </si>
  <si>
    <t>111 mg</t>
  </si>
  <si>
    <t>2.9 g</t>
  </si>
  <si>
    <t>Ketchup Lavida 380 kle003</t>
  </si>
  <si>
    <t>23.34 cal</t>
  </si>
  <si>
    <t>0.0045 g</t>
  </si>
  <si>
    <t>3 mg</t>
  </si>
  <si>
    <t>176 mg</t>
  </si>
  <si>
    <t>5.6 g</t>
  </si>
  <si>
    <t>2.28 g</t>
  </si>
  <si>
    <t>0.19 g</t>
  </si>
  <si>
    <t>Algerienne Sauce</t>
  </si>
  <si>
    <t>47  cal</t>
  </si>
  <si>
    <t>2.56 g</t>
  </si>
  <si>
    <t>4 mg</t>
  </si>
  <si>
    <t>186 mg</t>
  </si>
  <si>
    <t>4.4 g</t>
  </si>
  <si>
    <t xml:space="preserve">Amount per 20 g / الكمية لكل 20 جرام </t>
  </si>
  <si>
    <r>
      <t xml:space="preserve">Amount per 20 </t>
    </r>
    <r>
      <rPr>
        <b/>
        <sz val="13"/>
        <color theme="1"/>
        <rFont val="Akhbar MT"/>
        <charset val="178"/>
      </rPr>
      <t>g</t>
    </r>
    <r>
      <rPr>
        <b/>
        <sz val="13"/>
        <color theme="1"/>
        <rFont val="Aptos Narrow"/>
        <family val="2"/>
        <scheme val="minor"/>
      </rPr>
      <t xml:space="preserve"> / الكمية لكل 20 جرام </t>
    </r>
  </si>
  <si>
    <t>Tahini Sauce whith pickled lemon</t>
  </si>
  <si>
    <t>34  cal</t>
  </si>
  <si>
    <t>0.38 g</t>
  </si>
  <si>
    <t>328 mg</t>
  </si>
  <si>
    <t>1.6 g</t>
  </si>
  <si>
    <t>0.76  g</t>
  </si>
  <si>
    <t>Tahini Sauce whith green papper</t>
  </si>
  <si>
    <t>33  cal</t>
  </si>
  <si>
    <t>164 mg</t>
  </si>
  <si>
    <t>1.36 g</t>
  </si>
  <si>
    <t>Tahini Sauce whith chili</t>
  </si>
  <si>
    <t>33.7  cal</t>
  </si>
  <si>
    <t>0.8  g</t>
  </si>
  <si>
    <t>Tahini Sauce whith garlica</t>
  </si>
  <si>
    <t>34.3  cal</t>
  </si>
  <si>
    <t>0.84  g</t>
  </si>
  <si>
    <t>0.9 g</t>
  </si>
  <si>
    <t>Tahini Sauce Classic</t>
  </si>
  <si>
    <t>Amount per 9 g / الكمية لكل 9 جرام</t>
  </si>
  <si>
    <t>0.86 cal</t>
  </si>
  <si>
    <t>0.019g</t>
  </si>
  <si>
    <t>1418 mg</t>
  </si>
  <si>
    <t>0.032 g</t>
  </si>
  <si>
    <t>liquid Smoke Garlic Herbs</t>
  </si>
  <si>
    <t>حسب حجم العبوة</t>
  </si>
  <si>
    <t>27  cal</t>
  </si>
  <si>
    <t>0.27 g</t>
  </si>
  <si>
    <t>188 mg</t>
  </si>
  <si>
    <t>2.6 g</t>
  </si>
  <si>
    <t>iquid Smoke Fish</t>
  </si>
  <si>
    <t>10.4  cal</t>
  </si>
  <si>
    <t>0.32 g</t>
  </si>
  <si>
    <t>163 mg</t>
  </si>
  <si>
    <t>1.7 g</t>
  </si>
  <si>
    <t>liquid Smoke Hickory</t>
  </si>
  <si>
    <t>12.3  cal</t>
  </si>
  <si>
    <t>145 mg</t>
  </si>
  <si>
    <r>
      <t xml:space="preserve">Amount per 20 </t>
    </r>
    <r>
      <rPr>
        <b/>
        <sz val="16"/>
        <color theme="1"/>
        <rFont val="Akhbar MT"/>
        <charset val="178"/>
      </rPr>
      <t>g</t>
    </r>
    <r>
      <rPr>
        <b/>
        <sz val="16"/>
        <color theme="1"/>
        <rFont val="Aptos Narrow"/>
        <family val="2"/>
        <scheme val="minor"/>
      </rPr>
      <t xml:space="preserve"> / الكمية لكل 20 جرام </t>
    </r>
  </si>
  <si>
    <t>تستند النسبة المئوية للقيم اليومية على نظام غذائي يحتوي على 2000 سعرة حراري</t>
  </si>
  <si>
    <t>HOT Sauce Lavida</t>
  </si>
  <si>
    <t>1.92 cal</t>
  </si>
  <si>
    <t>0.04g</t>
  </si>
  <si>
    <t>0mg</t>
  </si>
  <si>
    <t>0.068 g</t>
  </si>
  <si>
    <t>456 mg</t>
  </si>
  <si>
    <t xml:space="preserve">HOT Sauce Lavida جركن 5 ك </t>
  </si>
  <si>
    <t>cal</t>
  </si>
  <si>
    <t>g</t>
  </si>
  <si>
    <t>mg</t>
  </si>
  <si>
    <t>7 g</t>
  </si>
  <si>
    <r>
      <t xml:space="preserve">Amount per 7 </t>
    </r>
    <r>
      <rPr>
        <b/>
        <sz val="9"/>
        <color theme="1"/>
        <rFont val="Akhbar MT"/>
        <charset val="178"/>
      </rPr>
      <t>g</t>
    </r>
    <r>
      <rPr>
        <b/>
        <sz val="11"/>
        <color theme="1"/>
        <rFont val="Aptos Narrow"/>
        <family val="2"/>
        <scheme val="minor"/>
      </rPr>
      <t xml:space="preserve"> / الكمية لكل 7 جرام </t>
    </r>
  </si>
  <si>
    <t>الحياة KLL005</t>
  </si>
  <si>
    <t>1 gm</t>
  </si>
  <si>
    <t>9 gm</t>
  </si>
  <si>
    <t xml:space="preserve">9 gm </t>
  </si>
  <si>
    <t xml:space="preserve">Number of servings per package per package:1 serring per sachet
عدد الحصص 1 حصة لكل ظرف 
    </t>
  </si>
  <si>
    <t xml:space="preserve">                   </t>
  </si>
  <si>
    <r>
      <t xml:space="preserve"> Ketchup Lavida 7 </t>
    </r>
    <r>
      <rPr>
        <b/>
        <sz val="10"/>
        <color theme="1"/>
        <rFont val="Akhbar MT"/>
        <charset val="178"/>
      </rPr>
      <t>g</t>
    </r>
  </si>
  <si>
    <t>Chocolate Cream  Bandito 5 KG</t>
  </si>
  <si>
    <t>106  cal</t>
  </si>
  <si>
    <t>6.1 g</t>
  </si>
  <si>
    <t>3.34 g</t>
  </si>
  <si>
    <t>67 mg</t>
  </si>
  <si>
    <t>12 g</t>
  </si>
  <si>
    <t>11.7 g</t>
  </si>
  <si>
    <t>0.79 g</t>
  </si>
  <si>
    <t>HORSERADISH SAUCE</t>
  </si>
  <si>
    <t>تستند النسبة المئوية للقيم اليومية على نظام غذائي يحتوي على 2000 سعرة حراربة	 	 	 
 Percent Daily Values are based on a 2000 calorie.</t>
  </si>
  <si>
    <t>KEA003</t>
  </si>
  <si>
    <t>Honey Mustard  أمريكا</t>
  </si>
  <si>
    <t>باربيكيو أناناس</t>
  </si>
  <si>
    <t>HS003</t>
  </si>
  <si>
    <t>ساموراي</t>
  </si>
  <si>
    <t>1GM</t>
  </si>
  <si>
    <t>9GM</t>
  </si>
  <si>
    <t>1 GM</t>
  </si>
  <si>
    <t>9gm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</si>
</sst>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%"/>
    <numFmt numFmtId="165" formatCode="0.0%"/>
    <numFmt numFmtId="166" formatCode="0.0000%"/>
    <numFmt numFmtId="167" formatCode="0.0000"/>
    <numFmt numFmtId="168" formatCode="0.000"/>
    <numFmt numFmtId="169" formatCode="0.0"/>
  </numFmts>
  <fonts count="2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khbar MT"/>
      <charset val="178"/>
    </font>
    <font>
      <b/>
      <sz val="9"/>
      <color theme="1"/>
      <name val="Akhbar MT"/>
      <charset val="178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khbar MT"/>
      <charset val="178"/>
    </font>
    <font>
      <b/>
      <sz val="13"/>
      <color theme="1"/>
      <name val="Aptos Narrow"/>
      <family val="2"/>
      <scheme val="minor"/>
    </font>
    <font>
      <b/>
      <sz val="13"/>
      <color theme="1"/>
      <name val="Akhbar MT"/>
      <charset val="178"/>
    </font>
    <font>
      <b/>
      <sz val="16"/>
      <color theme="1"/>
      <name val="Aptos Narrow"/>
      <family val="2"/>
      <scheme val="minor"/>
    </font>
    <font>
      <b/>
      <sz val="16"/>
      <color theme="1"/>
      <name val="Akhbar MT"/>
      <charset val="178"/>
    </font>
    <font>
      <sz val="16"/>
      <color theme="1"/>
      <name val="Aptos Narrow"/>
      <family val="2"/>
      <scheme val="minor"/>
    </font>
    <font>
      <b/>
      <sz val="24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24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13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readingOrder="2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0" fontId="1" fillId="2" borderId="3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0" fillId="4" borderId="0" xfId="0" applyFill="1"/>
    <xf numFmtId="0" fontId="1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10" fontId="1" fillId="4" borderId="3" xfId="0" applyNumberFormat="1" applyFont="1" applyFill="1" applyBorder="1" applyAlignment="1">
      <alignment horizontal="center" vertical="center"/>
    </xf>
    <xf numFmtId="9" fontId="1" fillId="4" borderId="3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165" fontId="1" fillId="5" borderId="3" xfId="0" applyNumberFormat="1" applyFont="1" applyFill="1" applyBorder="1" applyAlignment="1">
      <alignment horizontal="center" vertical="center"/>
    </xf>
    <xf numFmtId="9" fontId="1" fillId="5" borderId="3" xfId="0" applyNumberFormat="1" applyFont="1" applyFill="1" applyBorder="1" applyAlignment="1">
      <alignment horizontal="center" vertical="center"/>
    </xf>
    <xf numFmtId="10" fontId="1" fillId="5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9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0" fontId="7" fillId="0" borderId="12" xfId="0" applyNumberFormat="1" applyFont="1" applyBorder="1" applyAlignment="1">
      <alignment horizontal="center"/>
    </xf>
    <xf numFmtId="9" fontId="7" fillId="0" borderId="12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0" fontId="7" fillId="0" borderId="3" xfId="0" applyNumberFormat="1" applyFont="1" applyBorder="1" applyAlignment="1">
      <alignment horizontal="center"/>
    </xf>
    <xf numFmtId="9" fontId="7" fillId="0" borderId="3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12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8" fillId="0" borderId="18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8" fillId="0" borderId="0" xfId="0" applyFont="1"/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0" fontId="2" fillId="0" borderId="12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10" fontId="1" fillId="0" borderId="19" xfId="1" applyNumberFormat="1" applyFont="1" applyBorder="1" applyAlignment="1"/>
    <xf numFmtId="10" fontId="1" fillId="0" borderId="20" xfId="1" applyNumberFormat="1" applyFont="1" applyBorder="1" applyAlignment="1"/>
    <xf numFmtId="10" fontId="1" fillId="0" borderId="12" xfId="1" applyNumberFormat="1" applyFont="1" applyBorder="1" applyAlignment="1">
      <alignment horizontal="center" vertical="center" wrapText="1"/>
    </xf>
    <xf numFmtId="10" fontId="1" fillId="0" borderId="12" xfId="1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0" fontId="2" fillId="2" borderId="12" xfId="0" applyNumberFormat="1" applyFont="1" applyFill="1" applyBorder="1" applyAlignment="1">
      <alignment horizontal="center" vertical="center"/>
    </xf>
    <xf numFmtId="165" fontId="2" fillId="2" borderId="12" xfId="0" applyNumberFormat="1" applyFont="1" applyFill="1" applyBorder="1" applyAlignment="1">
      <alignment horizontal="center" vertical="center"/>
    </xf>
    <xf numFmtId="9" fontId="2" fillId="2" borderId="12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9" fontId="10" fillId="2" borderId="12" xfId="0" applyNumberFormat="1" applyFont="1" applyFill="1" applyBorder="1" applyAlignment="1">
      <alignment horizontal="center" vertical="center"/>
    </xf>
    <xf numFmtId="165" fontId="10" fillId="2" borderId="12" xfId="0" applyNumberFormat="1" applyFont="1" applyFill="1" applyBorder="1" applyAlignment="1">
      <alignment horizontal="center" vertical="center"/>
    </xf>
    <xf numFmtId="10" fontId="10" fillId="2" borderId="12" xfId="0" applyNumberFormat="1" applyFont="1" applyFill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65" fontId="12" fillId="2" borderId="12" xfId="0" applyNumberFormat="1" applyFont="1" applyFill="1" applyBorder="1" applyAlignment="1">
      <alignment horizontal="center" vertical="center"/>
    </xf>
    <xf numFmtId="10" fontId="12" fillId="2" borderId="12" xfId="0" applyNumberFormat="1" applyFont="1" applyFill="1" applyBorder="1" applyAlignment="1">
      <alignment horizontal="center" vertical="center"/>
    </xf>
    <xf numFmtId="9" fontId="12" fillId="2" borderId="12" xfId="0" applyNumberFormat="1" applyFont="1" applyFill="1" applyBorder="1" applyAlignment="1">
      <alignment horizontal="center" vertical="center"/>
    </xf>
    <xf numFmtId="0" fontId="14" fillId="0" borderId="0" xfId="0" applyFont="1"/>
    <xf numFmtId="0" fontId="1" fillId="2" borderId="12" xfId="0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0" fontId="1" fillId="2" borderId="12" xfId="0" applyNumberFormat="1" applyFont="1" applyFill="1" applyBorder="1" applyAlignment="1">
      <alignment horizontal="center" vertical="center"/>
    </xf>
    <xf numFmtId="9" fontId="1" fillId="2" borderId="12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10" fontId="12" fillId="0" borderId="3" xfId="0" applyNumberFormat="1" applyFont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0" fillId="0" borderId="15" xfId="0" applyNumberForma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readingOrder="2"/>
    </xf>
    <xf numFmtId="168" fontId="0" fillId="0" borderId="3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1" fillId="0" borderId="12" xfId="0" applyNumberFormat="1" applyFont="1" applyBorder="1" applyAlignment="1">
      <alignment horizontal="center" vertical="center"/>
    </xf>
    <xf numFmtId="0" fontId="15" fillId="0" borderId="37" xfId="0" applyFont="1" applyBorder="1" applyAlignment="1">
      <alignment vertical="center" wrapText="1"/>
    </xf>
    <xf numFmtId="0" fontId="16" fillId="0" borderId="37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16" fillId="0" borderId="39" xfId="0" applyFont="1" applyBorder="1" applyAlignment="1">
      <alignment vertical="center" wrapText="1"/>
    </xf>
    <xf numFmtId="10" fontId="0" fillId="0" borderId="0" xfId="0" applyNumberFormat="1"/>
    <xf numFmtId="10" fontId="16" fillId="0" borderId="37" xfId="0" applyNumberFormat="1" applyFont="1" applyBorder="1" applyAlignment="1">
      <alignment vertical="center" wrapText="1"/>
    </xf>
    <xf numFmtId="9" fontId="0" fillId="0" borderId="0" xfId="0" applyNumberFormat="1"/>
    <xf numFmtId="9" fontId="16" fillId="0" borderId="37" xfId="0" applyNumberFormat="1" applyFont="1" applyBorder="1" applyAlignment="1">
      <alignment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18" xfId="0" applyBorder="1"/>
    <xf numFmtId="166" fontId="0" fillId="0" borderId="18" xfId="0" applyNumberFormat="1" applyBorder="1"/>
    <xf numFmtId="10" fontId="0" fillId="0" borderId="40" xfId="0" applyNumberFormat="1" applyBorder="1"/>
    <xf numFmtId="166" fontId="0" fillId="0" borderId="0" xfId="0" applyNumberFormat="1"/>
    <xf numFmtId="164" fontId="0" fillId="0" borderId="41" xfId="0" applyNumberFormat="1" applyBorder="1"/>
    <xf numFmtId="10" fontId="0" fillId="0" borderId="41" xfId="0" applyNumberFormat="1" applyBorder="1"/>
    <xf numFmtId="0" fontId="0" fillId="0" borderId="30" xfId="0" applyBorder="1"/>
    <xf numFmtId="166" fontId="0" fillId="0" borderId="30" xfId="0" applyNumberFormat="1" applyBorder="1"/>
    <xf numFmtId="10" fontId="0" fillId="0" borderId="31" xfId="0" applyNumberFormat="1" applyBorder="1"/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8" fontId="16" fillId="0" borderId="37" xfId="0" applyNumberFormat="1" applyFont="1" applyBorder="1" applyAlignment="1">
      <alignment horizontal="center" vertical="center" wrapText="1"/>
    </xf>
    <xf numFmtId="10" fontId="16" fillId="0" borderId="37" xfId="0" applyNumberFormat="1" applyFont="1" applyBorder="1" applyAlignment="1">
      <alignment horizontal="center" vertical="center" wrapText="1"/>
    </xf>
    <xf numFmtId="9" fontId="16" fillId="0" borderId="37" xfId="0" applyNumberFormat="1" applyFont="1" applyBorder="1" applyAlignment="1">
      <alignment horizontal="center" vertical="center" wrapText="1"/>
    </xf>
    <xf numFmtId="2" fontId="16" fillId="0" borderId="37" xfId="0" applyNumberFormat="1" applyFont="1" applyBorder="1" applyAlignment="1">
      <alignment horizontal="center" vertical="center" wrapText="1"/>
    </xf>
    <xf numFmtId="0" fontId="0" fillId="0" borderId="40" xfId="0" applyBorder="1"/>
    <xf numFmtId="0" fontId="1" fillId="2" borderId="11" xfId="0" applyFont="1" applyFill="1" applyBorder="1" applyAlignment="1">
      <alignment horizontal="center" vertical="center"/>
    </xf>
    <xf numFmtId="0" fontId="0" fillId="0" borderId="41" xfId="0" applyBorder="1"/>
    <xf numFmtId="0" fontId="1" fillId="2" borderId="11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/>
    </xf>
    <xf numFmtId="169" fontId="16" fillId="0" borderId="37" xfId="0" applyNumberFormat="1" applyFont="1" applyBorder="1" applyAlignment="1">
      <alignment horizontal="center" vertical="center" wrapText="1"/>
    </xf>
    <xf numFmtId="1" fontId="16" fillId="0" borderId="37" xfId="0" applyNumberFormat="1" applyFont="1" applyBorder="1" applyAlignment="1">
      <alignment horizontal="center" vertical="center" wrapText="1"/>
    </xf>
    <xf numFmtId="164" fontId="16" fillId="0" borderId="37" xfId="0" applyNumberFormat="1" applyFont="1" applyBorder="1" applyAlignment="1">
      <alignment horizontal="center" vertical="center" wrapText="1"/>
    </xf>
    <xf numFmtId="165" fontId="16" fillId="0" borderId="37" xfId="0" applyNumberFormat="1" applyFont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/>
    </xf>
    <xf numFmtId="169" fontId="4" fillId="2" borderId="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2" xfId="0" applyBorder="1" applyAlignment="1">
      <alignment horizontal="center" wrapText="1"/>
    </xf>
    <xf numFmtId="165" fontId="0" fillId="0" borderId="12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9" fontId="1" fillId="0" borderId="12" xfId="0" applyNumberFormat="1" applyFont="1" applyBorder="1" applyAlignment="1">
      <alignment horizontal="center" vertical="center" wrapText="1"/>
    </xf>
    <xf numFmtId="10" fontId="1" fillId="0" borderId="1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0" fontId="19" fillId="0" borderId="3" xfId="0" applyNumberFormat="1" applyFont="1" applyBorder="1" applyAlignment="1">
      <alignment horizontal="center" vertical="center" wrapText="1"/>
    </xf>
    <xf numFmtId="9" fontId="19" fillId="0" borderId="3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1" fontId="0" fillId="0" borderId="0" xfId="0" applyNumberFormat="1"/>
    <xf numFmtId="0" fontId="20" fillId="0" borderId="0" xfId="0" applyFont="1" applyAlignment="1">
      <alignment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9" fontId="20" fillId="0" borderId="12" xfId="0" applyNumberFormat="1" applyFont="1" applyBorder="1" applyAlignment="1">
      <alignment horizontal="center" vertical="center" wrapText="1"/>
    </xf>
    <xf numFmtId="10" fontId="20" fillId="0" borderId="12" xfId="0" applyNumberFormat="1" applyFont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168" fontId="20" fillId="0" borderId="3" xfId="0" applyNumberFormat="1" applyFont="1" applyBorder="1" applyAlignment="1">
      <alignment horizontal="center" vertical="center" wrapText="1"/>
    </xf>
    <xf numFmtId="2" fontId="20" fillId="0" borderId="3" xfId="0" applyNumberFormat="1" applyFont="1" applyBorder="1" applyAlignment="1">
      <alignment horizontal="center" vertical="center" wrapText="1"/>
    </xf>
    <xf numFmtId="165" fontId="20" fillId="0" borderId="12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0" fontId="7" fillId="0" borderId="12" xfId="0" applyNumberFormat="1" applyFont="1" applyBorder="1" applyAlignment="1">
      <alignment horizontal="center" vertical="center" wrapText="1"/>
    </xf>
    <xf numFmtId="9" fontId="7" fillId="0" borderId="12" xfId="0" applyNumberFormat="1" applyFont="1" applyBorder="1" applyAlignment="1">
      <alignment horizontal="center" vertical="center" wrapText="1"/>
    </xf>
    <xf numFmtId="10" fontId="0" fillId="0" borderId="0" xfId="1" applyNumberFormat="1" applyFont="1"/>
    <xf numFmtId="164" fontId="0" fillId="0" borderId="0" xfId="1" applyNumberFormat="1" applyFont="1"/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8" xfId="0" applyFont="1" applyBorder="1" applyAlignment="1">
      <alignment vertical="center" wrapText="1"/>
    </xf>
    <xf numFmtId="0" fontId="16" fillId="0" borderId="39" xfId="0" applyFont="1" applyBorder="1" applyAlignment="1">
      <alignment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0" fillId="0" borderId="11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3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7" fillId="0" borderId="3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8299-9402-4B65-B2DC-3E277995A4F2}">
  <dimension ref="A1:M19"/>
  <sheetViews>
    <sheetView topLeftCell="E1" zoomScale="71" zoomScaleNormal="92" workbookViewId="0">
      <selection activeCell="F2" sqref="F2:H19"/>
    </sheetView>
  </sheetViews>
  <sheetFormatPr defaultRowHeight="15"/>
  <cols>
    <col min="1" max="1" width="43.140625" bestFit="1" customWidth="1"/>
    <col min="2" max="2" width="16.5703125" customWidth="1"/>
    <col min="3" max="3" width="19.5703125" customWidth="1"/>
    <col min="6" max="6" width="46.28515625" customWidth="1"/>
    <col min="7" max="8" width="15.140625" customWidth="1"/>
    <col min="11" max="11" width="43.140625" bestFit="1" customWidth="1"/>
    <col min="12" max="12" width="17.5703125" customWidth="1"/>
    <col min="13" max="13" width="17.42578125" customWidth="1"/>
  </cols>
  <sheetData>
    <row r="1" spans="1:13" ht="18.600000000000001" customHeight="1">
      <c r="A1" s="250" t="s">
        <v>0</v>
      </c>
      <c r="B1" s="251"/>
      <c r="C1" s="1"/>
      <c r="F1" s="239" t="s">
        <v>1</v>
      </c>
      <c r="G1" s="240"/>
      <c r="H1" s="241"/>
      <c r="K1" s="239" t="s">
        <v>2</v>
      </c>
      <c r="L1" s="240"/>
      <c r="M1" s="241"/>
    </row>
    <row r="2" spans="1:13" ht="18" customHeight="1">
      <c r="A2" s="252" t="s">
        <v>3</v>
      </c>
      <c r="B2" s="252"/>
      <c r="C2" s="1"/>
      <c r="F2" s="242" t="s">
        <v>3</v>
      </c>
      <c r="G2" s="243"/>
      <c r="H2" s="244"/>
      <c r="K2" s="242" t="s">
        <v>3</v>
      </c>
      <c r="L2" s="243"/>
      <c r="M2" s="244"/>
    </row>
    <row r="3" spans="1:13" ht="14.45" customHeight="1">
      <c r="A3" s="247" t="s">
        <v>4</v>
      </c>
      <c r="B3" s="247"/>
      <c r="C3" s="1"/>
      <c r="F3" s="242" t="s">
        <v>4</v>
      </c>
      <c r="G3" s="243"/>
      <c r="H3" s="244"/>
      <c r="K3" s="242" t="s">
        <v>4</v>
      </c>
      <c r="L3" s="243"/>
      <c r="M3" s="244"/>
    </row>
    <row r="4" spans="1:13" ht="14.45" customHeight="1">
      <c r="A4" s="2" t="s">
        <v>5</v>
      </c>
      <c r="B4" s="2">
        <v>1</v>
      </c>
      <c r="C4" s="248"/>
      <c r="F4" s="2" t="s">
        <v>5</v>
      </c>
      <c r="G4" s="3">
        <v>200</v>
      </c>
      <c r="H4" s="245"/>
      <c r="K4" s="2" t="s">
        <v>5</v>
      </c>
      <c r="L4" s="3">
        <v>1000</v>
      </c>
      <c r="M4" s="245"/>
    </row>
    <row r="5" spans="1:13" ht="20.100000000000001" customHeight="1">
      <c r="A5" s="2" t="s">
        <v>6</v>
      </c>
      <c r="B5" s="4" t="s">
        <v>7</v>
      </c>
      <c r="C5" s="249"/>
      <c r="F5" s="2" t="s">
        <v>6</v>
      </c>
      <c r="G5" s="4" t="s">
        <v>7</v>
      </c>
      <c r="H5" s="246"/>
      <c r="K5" s="2" t="s">
        <v>6</v>
      </c>
      <c r="L5" s="4" t="s">
        <v>7</v>
      </c>
      <c r="M5" s="246"/>
    </row>
    <row r="6" spans="1:13" ht="30">
      <c r="A6" s="247" t="s">
        <v>8</v>
      </c>
      <c r="B6" s="247"/>
      <c r="C6" s="5" t="s">
        <v>9</v>
      </c>
      <c r="F6" s="247" t="s">
        <v>8</v>
      </c>
      <c r="G6" s="247"/>
      <c r="H6" s="5" t="s">
        <v>9</v>
      </c>
      <c r="K6" s="247" t="s">
        <v>8</v>
      </c>
      <c r="L6" s="247"/>
      <c r="M6" s="5" t="s">
        <v>9</v>
      </c>
    </row>
    <row r="7" spans="1:13" ht="14.45" customHeight="1">
      <c r="A7" s="5" t="s">
        <v>10</v>
      </c>
      <c r="B7" s="2" t="s">
        <v>11</v>
      </c>
      <c r="C7" s="2"/>
      <c r="F7" s="5" t="s">
        <v>10</v>
      </c>
      <c r="G7" s="2" t="s">
        <v>11</v>
      </c>
      <c r="H7" s="2"/>
      <c r="K7" s="5" t="s">
        <v>10</v>
      </c>
      <c r="L7" s="2" t="s">
        <v>11</v>
      </c>
      <c r="M7" s="2"/>
    </row>
    <row r="8" spans="1:13" ht="17.100000000000001" customHeight="1">
      <c r="A8" s="2" t="s">
        <v>12</v>
      </c>
      <c r="B8" s="4" t="s">
        <v>13</v>
      </c>
      <c r="C8" s="6">
        <v>2.0000000000000001E-4</v>
      </c>
      <c r="F8" s="2" t="s">
        <v>12</v>
      </c>
      <c r="G8" s="4" t="s">
        <v>13</v>
      </c>
      <c r="H8" s="6">
        <v>2.0000000000000001E-4</v>
      </c>
      <c r="K8" s="2" t="s">
        <v>12</v>
      </c>
      <c r="L8" s="4" t="s">
        <v>13</v>
      </c>
      <c r="M8" s="6">
        <v>2.0000000000000001E-4</v>
      </c>
    </row>
    <row r="9" spans="1:13" ht="17.100000000000001" customHeight="1">
      <c r="A9" s="2" t="s">
        <v>14</v>
      </c>
      <c r="B9" s="4" t="s">
        <v>15</v>
      </c>
      <c r="C9" s="7">
        <v>3.0000000000000001E-5</v>
      </c>
      <c r="F9" s="2" t="s">
        <v>14</v>
      </c>
      <c r="G9" s="4" t="s">
        <v>15</v>
      </c>
      <c r="H9" s="7">
        <v>3.0000000000000001E-5</v>
      </c>
      <c r="K9" s="2" t="s">
        <v>14</v>
      </c>
      <c r="L9" s="4" t="s">
        <v>15</v>
      </c>
      <c r="M9" s="7">
        <v>3.0000000000000001E-5</v>
      </c>
    </row>
    <row r="10" spans="1:13" ht="17.100000000000001" customHeight="1">
      <c r="A10" s="2" t="s">
        <v>16</v>
      </c>
      <c r="B10" s="4" t="s">
        <v>17</v>
      </c>
      <c r="C10" s="6">
        <v>1E-4</v>
      </c>
      <c r="F10" s="2" t="s">
        <v>16</v>
      </c>
      <c r="G10" s="4" t="s">
        <v>17</v>
      </c>
      <c r="H10" s="6">
        <v>1E-4</v>
      </c>
      <c r="K10" s="2" t="s">
        <v>16</v>
      </c>
      <c r="L10" s="4" t="s">
        <v>17</v>
      </c>
      <c r="M10" s="6">
        <v>1E-4</v>
      </c>
    </row>
    <row r="11" spans="1:13" ht="17.100000000000001" customHeight="1">
      <c r="A11" s="2" t="s">
        <v>18</v>
      </c>
      <c r="B11" s="4" t="s">
        <v>19</v>
      </c>
      <c r="C11" s="8">
        <v>0</v>
      </c>
      <c r="F11" s="2" t="s">
        <v>18</v>
      </c>
      <c r="G11" s="4" t="s">
        <v>19</v>
      </c>
      <c r="H11" s="8">
        <v>0</v>
      </c>
      <c r="K11" s="2" t="s">
        <v>18</v>
      </c>
      <c r="L11" s="4" t="s">
        <v>19</v>
      </c>
      <c r="M11" s="8">
        <v>0</v>
      </c>
    </row>
    <row r="12" spans="1:13" ht="17.100000000000001" customHeight="1">
      <c r="A12" s="2" t="s">
        <v>20</v>
      </c>
      <c r="B12" s="4" t="s">
        <v>21</v>
      </c>
      <c r="C12" s="9">
        <v>3.0000000000000001E-3</v>
      </c>
      <c r="F12" s="2" t="s">
        <v>20</v>
      </c>
      <c r="G12" s="4" t="s">
        <v>21</v>
      </c>
      <c r="H12" s="9">
        <v>3.0000000000000001E-3</v>
      </c>
      <c r="K12" s="2" t="s">
        <v>20</v>
      </c>
      <c r="L12" s="4" t="s">
        <v>21</v>
      </c>
      <c r="M12" s="9">
        <v>3.0000000000000001E-3</v>
      </c>
    </row>
    <row r="13" spans="1:13" ht="17.100000000000001" customHeight="1">
      <c r="A13" s="2" t="s">
        <v>22</v>
      </c>
      <c r="B13" s="4" t="s">
        <v>23</v>
      </c>
      <c r="C13" s="9">
        <v>3.5999999999999997E-2</v>
      </c>
      <c r="F13" s="2" t="s">
        <v>22</v>
      </c>
      <c r="G13" s="4" t="s">
        <v>23</v>
      </c>
      <c r="H13" s="9">
        <v>3.5999999999999997E-2</v>
      </c>
      <c r="K13" s="2" t="s">
        <v>22</v>
      </c>
      <c r="L13" s="4" t="s">
        <v>23</v>
      </c>
      <c r="M13" s="9">
        <v>3.5999999999999997E-2</v>
      </c>
    </row>
    <row r="14" spans="1:13" ht="17.100000000000001" customHeight="1">
      <c r="A14" s="2" t="s">
        <v>24</v>
      </c>
      <c r="B14" s="4" t="s">
        <v>25</v>
      </c>
      <c r="C14" s="8">
        <v>0.01</v>
      </c>
      <c r="F14" s="2" t="s">
        <v>24</v>
      </c>
      <c r="G14" s="4" t="s">
        <v>25</v>
      </c>
      <c r="H14" s="8">
        <v>0.01</v>
      </c>
      <c r="K14" s="2" t="s">
        <v>24</v>
      </c>
      <c r="L14" s="4" t="s">
        <v>25</v>
      </c>
      <c r="M14" s="8">
        <v>0.01</v>
      </c>
    </row>
    <row r="15" spans="1:13" ht="17.100000000000001" customHeight="1">
      <c r="A15" s="2" t="s">
        <v>26</v>
      </c>
      <c r="B15" s="4" t="s">
        <v>27</v>
      </c>
      <c r="C15" s="9">
        <v>2E-3</v>
      </c>
      <c r="F15" s="2" t="s">
        <v>26</v>
      </c>
      <c r="G15" s="4" t="s">
        <v>27</v>
      </c>
      <c r="H15" s="9">
        <v>2E-3</v>
      </c>
      <c r="K15" s="2" t="s">
        <v>26</v>
      </c>
      <c r="L15" s="4" t="s">
        <v>27</v>
      </c>
      <c r="M15" s="9">
        <v>2E-3</v>
      </c>
    </row>
    <row r="16" spans="1:13" ht="17.100000000000001" customHeight="1">
      <c r="A16" s="2" t="s">
        <v>28</v>
      </c>
      <c r="B16" s="4" t="s">
        <v>29</v>
      </c>
      <c r="C16" s="8">
        <v>0.04</v>
      </c>
      <c r="F16" s="2" t="s">
        <v>28</v>
      </c>
      <c r="G16" s="4" t="s">
        <v>29</v>
      </c>
      <c r="H16" s="8">
        <v>0.04</v>
      </c>
      <c r="K16" s="2" t="s">
        <v>28</v>
      </c>
      <c r="L16" s="4" t="s">
        <v>29</v>
      </c>
      <c r="M16" s="8">
        <v>0.04</v>
      </c>
    </row>
    <row r="17" spans="1:13" ht="17.100000000000001" customHeight="1">
      <c r="A17" s="2" t="s">
        <v>30</v>
      </c>
      <c r="B17" s="4" t="s">
        <v>31</v>
      </c>
      <c r="C17" s="9">
        <v>3.5999999999999997E-2</v>
      </c>
      <c r="F17" s="2" t="s">
        <v>30</v>
      </c>
      <c r="G17" s="4" t="s">
        <v>31</v>
      </c>
      <c r="H17" s="9">
        <v>3.5999999999999997E-2</v>
      </c>
      <c r="K17" s="2" t="s">
        <v>30</v>
      </c>
      <c r="L17" s="4" t="s">
        <v>31</v>
      </c>
      <c r="M17" s="9">
        <v>3.5999999999999997E-2</v>
      </c>
    </row>
    <row r="18" spans="1:13">
      <c r="A18" s="2" t="s">
        <v>32</v>
      </c>
      <c r="B18" s="4" t="s">
        <v>33</v>
      </c>
      <c r="C18" s="7">
        <v>4.2999999999999999E-4</v>
      </c>
      <c r="F18" s="2" t="s">
        <v>32</v>
      </c>
      <c r="G18" s="4" t="s">
        <v>33</v>
      </c>
      <c r="H18" s="7">
        <v>4.2999999999999999E-4</v>
      </c>
      <c r="K18" s="2" t="s">
        <v>32</v>
      </c>
      <c r="L18" s="4" t="s">
        <v>33</v>
      </c>
      <c r="M18" s="7">
        <v>4.2999999999999999E-4</v>
      </c>
    </row>
    <row r="19" spans="1:13" ht="43.5" customHeight="1">
      <c r="A19" s="253" t="s">
        <v>34</v>
      </c>
      <c r="B19" s="254"/>
      <c r="C19" s="255"/>
      <c r="F19" s="238" t="s">
        <v>34</v>
      </c>
      <c r="G19" s="238"/>
      <c r="H19" s="238"/>
      <c r="K19" s="238" t="s">
        <v>34</v>
      </c>
      <c r="L19" s="238"/>
      <c r="M19" s="238"/>
    </row>
  </sheetData>
  <mergeCells count="18">
    <mergeCell ref="C4:C5"/>
    <mergeCell ref="A1:B1"/>
    <mergeCell ref="A2:B2"/>
    <mergeCell ref="A19:C19"/>
    <mergeCell ref="F19:H19"/>
    <mergeCell ref="A3:B3"/>
    <mergeCell ref="A6:B6"/>
    <mergeCell ref="K19:M19"/>
    <mergeCell ref="F1:H1"/>
    <mergeCell ref="F2:H2"/>
    <mergeCell ref="F3:H3"/>
    <mergeCell ref="K1:M1"/>
    <mergeCell ref="K2:M2"/>
    <mergeCell ref="K3:M3"/>
    <mergeCell ref="M4:M5"/>
    <mergeCell ref="F6:G6"/>
    <mergeCell ref="K6:L6"/>
    <mergeCell ref="H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AAF6-0873-44BB-93B6-DECDD8CD44B0}">
  <dimension ref="A1:K103"/>
  <sheetViews>
    <sheetView zoomScale="93" zoomScaleNormal="93" workbookViewId="0">
      <selection activeCell="A67" sqref="A67:D86"/>
    </sheetView>
  </sheetViews>
  <sheetFormatPr defaultRowHeight="15"/>
  <cols>
    <col min="1" max="1" width="53.85546875" customWidth="1"/>
    <col min="2" max="2" width="12.140625" customWidth="1"/>
    <col min="3" max="3" width="3.85546875" bestFit="1" customWidth="1"/>
    <col min="4" max="4" width="15.28515625" customWidth="1"/>
    <col min="5" max="5" width="10.28515625" customWidth="1"/>
    <col min="6" max="6" width="46" customWidth="1"/>
    <col min="7" max="7" width="13" customWidth="1"/>
    <col min="8" max="8" width="11.5703125" customWidth="1"/>
    <col min="9" max="9" width="15.85546875" customWidth="1"/>
  </cols>
  <sheetData>
    <row r="1" spans="1:9" ht="36.6" customHeight="1">
      <c r="A1" s="239" t="s">
        <v>35</v>
      </c>
      <c r="B1" s="241"/>
      <c r="C1" s="148"/>
      <c r="D1" s="1"/>
      <c r="F1" s="239" t="s">
        <v>36</v>
      </c>
      <c r="G1" s="240"/>
      <c r="H1" s="241"/>
      <c r="I1" s="1"/>
    </row>
    <row r="2" spans="1:9">
      <c r="A2" s="247" t="s">
        <v>4</v>
      </c>
      <c r="B2" s="247"/>
      <c r="C2" s="2"/>
      <c r="D2" s="1"/>
      <c r="F2" s="247" t="s">
        <v>4</v>
      </c>
      <c r="G2" s="247"/>
      <c r="H2" s="247"/>
      <c r="I2" s="1"/>
    </row>
    <row r="3" spans="1:9" ht="18" customHeight="1">
      <c r="A3" s="2" t="s">
        <v>5</v>
      </c>
      <c r="B3" s="2">
        <v>21</v>
      </c>
      <c r="C3" s="149"/>
      <c r="D3" s="248"/>
      <c r="F3" s="2" t="s">
        <v>5</v>
      </c>
      <c r="G3" s="2"/>
      <c r="H3" s="2">
        <v>11</v>
      </c>
      <c r="I3" s="248"/>
    </row>
    <row r="4" spans="1:9">
      <c r="A4" s="2" t="s">
        <v>6</v>
      </c>
      <c r="B4" s="4" t="s">
        <v>37</v>
      </c>
      <c r="C4" s="151"/>
      <c r="D4" s="249"/>
      <c r="F4" s="2" t="s">
        <v>6</v>
      </c>
      <c r="G4" s="2"/>
      <c r="H4" s="4" t="s">
        <v>37</v>
      </c>
      <c r="I4" s="249"/>
    </row>
    <row r="5" spans="1:9" ht="30">
      <c r="A5" s="247" t="s">
        <v>38</v>
      </c>
      <c r="B5" s="247"/>
      <c r="C5" s="2"/>
      <c r="D5" s="5" t="s">
        <v>9</v>
      </c>
      <c r="F5" s="247" t="s">
        <v>38</v>
      </c>
      <c r="G5" s="247"/>
      <c r="H5" s="247"/>
      <c r="I5" s="5" t="s">
        <v>9</v>
      </c>
    </row>
    <row r="6" spans="1:9">
      <c r="A6" s="5" t="s">
        <v>10</v>
      </c>
      <c r="B6" s="2" t="s">
        <v>39</v>
      </c>
      <c r="C6" s="2"/>
      <c r="D6" s="2"/>
      <c r="F6" s="5" t="s">
        <v>10</v>
      </c>
      <c r="G6" s="5"/>
      <c r="H6" s="2" t="s">
        <v>39</v>
      </c>
      <c r="I6" s="2"/>
    </row>
    <row r="7" spans="1:9">
      <c r="A7" s="2" t="s">
        <v>12</v>
      </c>
      <c r="B7" s="4" t="s">
        <v>40</v>
      </c>
      <c r="C7" s="4"/>
      <c r="D7" s="7">
        <v>4.2999999999999999E-4</v>
      </c>
      <c r="F7" s="2" t="s">
        <v>12</v>
      </c>
      <c r="G7" s="2"/>
      <c r="H7" s="4" t="s">
        <v>40</v>
      </c>
      <c r="I7" s="7">
        <v>4.2999999999999999E-4</v>
      </c>
    </row>
    <row r="8" spans="1:9">
      <c r="A8" s="2" t="s">
        <v>14</v>
      </c>
      <c r="B8" s="4" t="s">
        <v>41</v>
      </c>
      <c r="C8" s="4"/>
      <c r="D8" s="10">
        <v>6.6000000000000005E-5</v>
      </c>
      <c r="F8" s="2" t="s">
        <v>14</v>
      </c>
      <c r="G8" s="2"/>
      <c r="H8" s="4" t="s">
        <v>41</v>
      </c>
      <c r="I8" s="10">
        <v>6.6000000000000005E-5</v>
      </c>
    </row>
    <row r="9" spans="1:9">
      <c r="A9" s="2" t="s">
        <v>16</v>
      </c>
      <c r="B9" s="4" t="s">
        <v>42</v>
      </c>
      <c r="C9" s="4"/>
      <c r="D9" s="6">
        <v>2.0000000000000001E-4</v>
      </c>
      <c r="F9" s="2" t="s">
        <v>16</v>
      </c>
      <c r="G9" s="2"/>
      <c r="H9" s="4" t="s">
        <v>42</v>
      </c>
      <c r="I9" s="6">
        <v>2.0000000000000001E-4</v>
      </c>
    </row>
    <row r="10" spans="1:9">
      <c r="A10" s="2" t="s">
        <v>18</v>
      </c>
      <c r="B10" s="4" t="s">
        <v>19</v>
      </c>
      <c r="C10" s="4"/>
      <c r="D10" s="8">
        <v>0</v>
      </c>
      <c r="F10" s="2" t="s">
        <v>18</v>
      </c>
      <c r="G10" s="2"/>
      <c r="H10" s="4" t="s">
        <v>19</v>
      </c>
      <c r="I10" s="8">
        <v>0</v>
      </c>
    </row>
    <row r="11" spans="1:9">
      <c r="A11" s="2" t="s">
        <v>20</v>
      </c>
      <c r="B11" s="4" t="s">
        <v>43</v>
      </c>
      <c r="C11" s="4"/>
      <c r="D11" s="9">
        <v>6.6E-3</v>
      </c>
      <c r="F11" s="2" t="s">
        <v>20</v>
      </c>
      <c r="G11" s="2"/>
      <c r="H11" s="4" t="s">
        <v>43</v>
      </c>
      <c r="I11" s="9">
        <v>6.6E-3</v>
      </c>
    </row>
    <row r="12" spans="1:9">
      <c r="A12" s="2" t="s">
        <v>22</v>
      </c>
      <c r="B12" s="4" t="s">
        <v>44</v>
      </c>
      <c r="C12" s="4"/>
      <c r="D12" s="8">
        <v>0.08</v>
      </c>
      <c r="F12" s="2" t="s">
        <v>22</v>
      </c>
      <c r="G12" s="2"/>
      <c r="H12" s="4" t="s">
        <v>44</v>
      </c>
      <c r="I12" s="8">
        <v>0.08</v>
      </c>
    </row>
    <row r="13" spans="1:9">
      <c r="A13" s="2" t="s">
        <v>24</v>
      </c>
      <c r="B13" s="4" t="s">
        <v>45</v>
      </c>
      <c r="C13" s="4"/>
      <c r="D13" s="6">
        <v>2.0799999999999999E-2</v>
      </c>
      <c r="F13" s="2" t="s">
        <v>24</v>
      </c>
      <c r="G13" s="2"/>
      <c r="H13" s="4" t="s">
        <v>45</v>
      </c>
      <c r="I13" s="6">
        <v>2.0799999999999999E-2</v>
      </c>
    </row>
    <row r="14" spans="1:9">
      <c r="A14" s="2" t="s">
        <v>26</v>
      </c>
      <c r="B14" s="4" t="s">
        <v>46</v>
      </c>
      <c r="C14" s="4"/>
      <c r="D14" s="6">
        <v>4.7000000000000002E-3</v>
      </c>
      <c r="F14" s="2" t="s">
        <v>26</v>
      </c>
      <c r="G14" s="2"/>
      <c r="H14" s="4" t="s">
        <v>46</v>
      </c>
      <c r="I14" s="6">
        <v>4.7000000000000002E-3</v>
      </c>
    </row>
    <row r="15" spans="1:9">
      <c r="A15" s="2" t="s">
        <v>28</v>
      </c>
      <c r="B15" s="4" t="s">
        <v>47</v>
      </c>
      <c r="C15" s="4"/>
      <c r="D15" s="8">
        <v>0.09</v>
      </c>
      <c r="F15" s="2" t="s">
        <v>28</v>
      </c>
      <c r="G15" s="2"/>
      <c r="H15" s="4" t="s">
        <v>47</v>
      </c>
      <c r="I15" s="8">
        <v>0.09</v>
      </c>
    </row>
    <row r="16" spans="1:9">
      <c r="A16" s="2" t="s">
        <v>30</v>
      </c>
      <c r="B16" s="4" t="s">
        <v>48</v>
      </c>
      <c r="C16" s="4"/>
      <c r="D16" s="8">
        <v>0.08</v>
      </c>
      <c r="F16" s="2" t="s">
        <v>30</v>
      </c>
      <c r="G16" s="2"/>
      <c r="H16" s="4" t="s">
        <v>48</v>
      </c>
      <c r="I16" s="8">
        <v>0.08</v>
      </c>
    </row>
    <row r="17" spans="1:9">
      <c r="A17" s="2" t="s">
        <v>32</v>
      </c>
      <c r="B17" s="4" t="s">
        <v>49</v>
      </c>
      <c r="C17" s="4"/>
      <c r="D17" s="7">
        <v>9.6000000000000002E-4</v>
      </c>
      <c r="F17" s="2" t="s">
        <v>32</v>
      </c>
      <c r="G17" s="2"/>
      <c r="H17" s="4" t="s">
        <v>49</v>
      </c>
      <c r="I17" s="7">
        <v>9.6000000000000002E-4</v>
      </c>
    </row>
    <row r="18" spans="1:9" ht="37.5" customHeight="1">
      <c r="A18" s="253" t="s">
        <v>34</v>
      </c>
      <c r="B18" s="254"/>
      <c r="C18" s="254"/>
      <c r="D18" s="255"/>
      <c r="F18" s="253" t="s">
        <v>34</v>
      </c>
      <c r="G18" s="254"/>
      <c r="H18" s="254"/>
      <c r="I18" s="255"/>
    </row>
    <row r="20" spans="1:9" ht="15.75" thickBot="1"/>
    <row r="21" spans="1:9" ht="15.75" thickBot="1">
      <c r="F21" s="268" t="s">
        <v>392</v>
      </c>
      <c r="G21" s="269"/>
      <c r="H21" s="269"/>
      <c r="I21" s="270"/>
    </row>
    <row r="22" spans="1:9">
      <c r="A22" s="268" t="s">
        <v>3</v>
      </c>
      <c r="B22" s="269"/>
      <c r="C22" s="269"/>
      <c r="D22" s="270"/>
      <c r="E22" t="s">
        <v>391</v>
      </c>
      <c r="F22" s="203" t="s">
        <v>5</v>
      </c>
      <c r="G22" s="198"/>
      <c r="H22" s="198"/>
      <c r="I22" s="199"/>
    </row>
    <row r="23" spans="1:9">
      <c r="A23" s="271" t="s">
        <v>4</v>
      </c>
      <c r="B23" s="243"/>
      <c r="C23" s="243"/>
      <c r="D23" s="272"/>
      <c r="F23" s="67" t="s">
        <v>6</v>
      </c>
      <c r="G23" s="39" t="s">
        <v>384</v>
      </c>
      <c r="H23" s="40"/>
      <c r="I23" s="200"/>
    </row>
    <row r="24" spans="1:9" ht="30">
      <c r="A24" s="67" t="s">
        <v>5</v>
      </c>
      <c r="B24" s="3">
        <v>1</v>
      </c>
      <c r="C24" s="152"/>
      <c r="D24" s="266"/>
      <c r="F24" s="273" t="s">
        <v>385</v>
      </c>
      <c r="G24" s="247"/>
      <c r="H24" s="40"/>
      <c r="I24" s="201" t="s">
        <v>9</v>
      </c>
    </row>
    <row r="25" spans="1:9">
      <c r="A25" s="67" t="s">
        <v>6</v>
      </c>
      <c r="B25" s="4" t="s">
        <v>7</v>
      </c>
      <c r="C25" s="151"/>
      <c r="D25" s="267"/>
      <c r="F25" s="70" t="s">
        <v>10</v>
      </c>
      <c r="G25" s="39">
        <v>7.5250000000000012</v>
      </c>
      <c r="H25" s="2" t="s">
        <v>381</v>
      </c>
      <c r="I25" s="60"/>
    </row>
    <row r="26" spans="1:9" ht="30">
      <c r="A26" s="271" t="s">
        <v>8</v>
      </c>
      <c r="B26" s="244"/>
      <c r="C26" s="2"/>
      <c r="D26" s="69" t="s">
        <v>9</v>
      </c>
      <c r="F26" s="67" t="s">
        <v>12</v>
      </c>
      <c r="G26" s="153">
        <v>8.5555555555555558E-3</v>
      </c>
      <c r="H26" s="4" t="s">
        <v>382</v>
      </c>
      <c r="I26" s="61">
        <v>1.5555555555555556E-4</v>
      </c>
    </row>
    <row r="27" spans="1:9">
      <c r="A27" s="70" t="s">
        <v>10</v>
      </c>
      <c r="B27" s="2">
        <v>9.6750000000000007</v>
      </c>
      <c r="C27" s="2" t="s">
        <v>381</v>
      </c>
      <c r="D27" s="71"/>
      <c r="F27" s="67" t="s">
        <v>14</v>
      </c>
      <c r="G27" s="154">
        <v>3.1111111111111113E-4</v>
      </c>
      <c r="H27" s="4" t="s">
        <v>382</v>
      </c>
      <c r="I27" s="147">
        <v>2.3333333333333332E-5</v>
      </c>
    </row>
    <row r="28" spans="1:9">
      <c r="A28" s="67" t="s">
        <v>12</v>
      </c>
      <c r="B28" s="4">
        <v>1.0999999999999999E-2</v>
      </c>
      <c r="C28" s="4" t="s">
        <v>382</v>
      </c>
      <c r="D28" s="73">
        <v>2.0000000000000001E-4</v>
      </c>
      <c r="F28" s="67" t="s">
        <v>16</v>
      </c>
      <c r="G28" s="154">
        <v>1.1666666666666665E-3</v>
      </c>
      <c r="H28" s="4" t="s">
        <v>382</v>
      </c>
      <c r="I28" s="61">
        <v>7.7777777777777782E-5</v>
      </c>
    </row>
    <row r="29" spans="1:9">
      <c r="A29" s="67" t="s">
        <v>14</v>
      </c>
      <c r="B29" s="4">
        <v>4.0000000000000002E-4</v>
      </c>
      <c r="C29" s="4" t="s">
        <v>382</v>
      </c>
      <c r="D29" s="157">
        <v>3.0000000000000001E-5</v>
      </c>
      <c r="F29" s="67" t="s">
        <v>18</v>
      </c>
      <c r="G29" s="39">
        <v>0</v>
      </c>
      <c r="H29" s="4" t="s">
        <v>382</v>
      </c>
      <c r="I29" s="62">
        <v>0</v>
      </c>
    </row>
    <row r="30" spans="1:9">
      <c r="A30" s="67" t="s">
        <v>16</v>
      </c>
      <c r="B30" s="4">
        <v>1.5E-3</v>
      </c>
      <c r="C30" s="4" t="s">
        <v>382</v>
      </c>
      <c r="D30" s="73">
        <v>1E-4</v>
      </c>
      <c r="F30" s="67" t="s">
        <v>20</v>
      </c>
      <c r="G30" s="39">
        <v>0.70000000000000007</v>
      </c>
      <c r="H30" s="4" t="s">
        <v>383</v>
      </c>
      <c r="I30" s="61">
        <v>2.3333333333333331E-3</v>
      </c>
    </row>
    <row r="31" spans="1:9">
      <c r="A31" s="67" t="s">
        <v>18</v>
      </c>
      <c r="B31" s="4">
        <v>0</v>
      </c>
      <c r="C31" s="4" t="s">
        <v>382</v>
      </c>
      <c r="D31" s="72">
        <v>0</v>
      </c>
      <c r="F31" s="67" t="s">
        <v>22</v>
      </c>
      <c r="G31" s="39">
        <v>56</v>
      </c>
      <c r="H31" s="4" t="s">
        <v>383</v>
      </c>
      <c r="I31" s="202">
        <v>2.8000000000000001E-2</v>
      </c>
    </row>
    <row r="32" spans="1:9">
      <c r="A32" s="67" t="s">
        <v>20</v>
      </c>
      <c r="B32" s="4">
        <v>0.9</v>
      </c>
      <c r="C32" s="4" t="s">
        <v>383</v>
      </c>
      <c r="D32" s="123">
        <v>3.0000000000000001E-3</v>
      </c>
      <c r="F32" s="67" t="s">
        <v>24</v>
      </c>
      <c r="G32" s="155">
        <v>1.82</v>
      </c>
      <c r="H32" s="4" t="s">
        <v>382</v>
      </c>
      <c r="I32" s="61">
        <v>7.7777777777777776E-3</v>
      </c>
    </row>
    <row r="33" spans="1:11">
      <c r="A33" s="67" t="s">
        <v>22</v>
      </c>
      <c r="B33" s="4">
        <v>72</v>
      </c>
      <c r="C33" s="4" t="s">
        <v>383</v>
      </c>
      <c r="D33" s="123">
        <v>3.5999999999999997E-2</v>
      </c>
      <c r="F33" s="67" t="s">
        <v>26</v>
      </c>
      <c r="G33" s="156">
        <v>6.222222222222222E-2</v>
      </c>
      <c r="H33" s="4" t="s">
        <v>382</v>
      </c>
      <c r="I33" s="61">
        <v>1.5555555555555557E-3</v>
      </c>
    </row>
    <row r="34" spans="1:11">
      <c r="A34" s="67" t="s">
        <v>24</v>
      </c>
      <c r="B34" s="4">
        <v>2.34</v>
      </c>
      <c r="C34" s="4" t="s">
        <v>382</v>
      </c>
      <c r="D34" s="72">
        <v>0.01</v>
      </c>
      <c r="F34" s="67" t="s">
        <v>28</v>
      </c>
      <c r="G34" s="39">
        <v>1.5749999999999997</v>
      </c>
      <c r="H34" s="4" t="s">
        <v>382</v>
      </c>
      <c r="I34" s="202">
        <v>3.111111111111111E-2</v>
      </c>
    </row>
    <row r="35" spans="1:11">
      <c r="A35" s="67" t="s">
        <v>26</v>
      </c>
      <c r="B35" s="4">
        <v>0.08</v>
      </c>
      <c r="C35" s="4" t="s">
        <v>382</v>
      </c>
      <c r="D35" s="123">
        <v>2E-3</v>
      </c>
      <c r="F35" s="67" t="s">
        <v>30</v>
      </c>
      <c r="G35" s="39">
        <v>1.4000000000000001</v>
      </c>
      <c r="H35" s="4" t="s">
        <v>382</v>
      </c>
      <c r="I35" s="61">
        <v>2.8000000000000001E-2</v>
      </c>
    </row>
    <row r="36" spans="1:11" ht="15.75" thickBot="1">
      <c r="A36" s="67" t="s">
        <v>28</v>
      </c>
      <c r="B36" s="4">
        <v>2.0249999999999999</v>
      </c>
      <c r="C36" s="4" t="s">
        <v>382</v>
      </c>
      <c r="D36" s="72">
        <v>0.04</v>
      </c>
      <c r="F36" s="67" t="s">
        <v>32</v>
      </c>
      <c r="G36" s="156">
        <v>4.2000000000000003E-2</v>
      </c>
      <c r="H36" s="4" t="s">
        <v>382</v>
      </c>
      <c r="I36" s="61">
        <v>3.3444444444444445E-4</v>
      </c>
    </row>
    <row r="37" spans="1:11" ht="15.75">
      <c r="A37" s="67" t="s">
        <v>30</v>
      </c>
      <c r="B37" s="4">
        <v>1.8</v>
      </c>
      <c r="C37" s="4" t="s">
        <v>382</v>
      </c>
      <c r="D37" s="123">
        <v>3.5999999999999997E-2</v>
      </c>
      <c r="F37" s="263" t="s">
        <v>281</v>
      </c>
      <c r="G37" s="264"/>
      <c r="H37" s="264"/>
      <c r="I37" s="265"/>
    </row>
    <row r="38" spans="1:11" ht="16.5" thickBot="1">
      <c r="A38" s="67" t="s">
        <v>32</v>
      </c>
      <c r="B38" s="4">
        <v>5.3999999999999999E-2</v>
      </c>
      <c r="C38" s="4" t="s">
        <v>382</v>
      </c>
      <c r="D38" s="157">
        <v>4.2999999999999999E-4</v>
      </c>
      <c r="F38" s="256" t="s">
        <v>282</v>
      </c>
      <c r="G38" s="257"/>
      <c r="H38" s="257"/>
      <c r="I38" s="258"/>
    </row>
    <row r="39" spans="1:11" ht="15.75" customHeight="1">
      <c r="A39" s="263" t="s">
        <v>281</v>
      </c>
      <c r="B39" s="264"/>
      <c r="C39" s="264"/>
      <c r="D39" s="265"/>
    </row>
    <row r="40" spans="1:11" ht="16.5" thickBot="1">
      <c r="A40" s="256" t="s">
        <v>282</v>
      </c>
      <c r="B40" s="257"/>
      <c r="C40" s="257"/>
      <c r="D40" s="258"/>
    </row>
    <row r="44" spans="1:11" ht="15.75" thickBot="1"/>
    <row r="45" spans="1:11" ht="33" customHeight="1" thickBot="1">
      <c r="A45" s="158" t="s">
        <v>386</v>
      </c>
      <c r="B45" s="159"/>
      <c r="C45" s="159"/>
      <c r="D45" s="159"/>
    </row>
    <row r="46" spans="1:11" ht="30" customHeight="1" thickBot="1">
      <c r="A46" s="159" t="s">
        <v>261</v>
      </c>
      <c r="B46" s="159"/>
      <c r="C46" s="159"/>
      <c r="D46" s="159"/>
      <c r="E46" s="39"/>
      <c r="F46" s="39" t="s">
        <v>388</v>
      </c>
      <c r="G46" s="40" t="s">
        <v>387</v>
      </c>
    </row>
    <row r="47" spans="1:11" ht="16.5" thickBot="1">
      <c r="A47" s="159" t="s">
        <v>262</v>
      </c>
      <c r="B47" s="166" t="s">
        <v>297</v>
      </c>
      <c r="C47" s="159"/>
      <c r="D47" s="159"/>
      <c r="E47" s="167">
        <v>19.899999999999999</v>
      </c>
      <c r="F47" s="39">
        <f t="shared" ref="F47:F58" si="0">SUM(G47*9)</f>
        <v>8.9549999999999983</v>
      </c>
      <c r="G47" s="40">
        <f t="shared" ref="G47:G58" si="1">SUM(E47/20)</f>
        <v>0.99499999999999988</v>
      </c>
      <c r="H47" s="163">
        <v>2.0000000000000001E-4</v>
      </c>
      <c r="I47" s="170"/>
      <c r="J47" s="171">
        <f>SUM(H47/20)</f>
        <v>1.0000000000000001E-5</v>
      </c>
      <c r="K47" s="172">
        <f>SUM(J47*9)</f>
        <v>9.0000000000000006E-5</v>
      </c>
    </row>
    <row r="48" spans="1:11" ht="16.5" thickBot="1">
      <c r="A48" s="159" t="s">
        <v>264</v>
      </c>
      <c r="B48" s="166" t="s">
        <v>37</v>
      </c>
      <c r="C48" s="159"/>
      <c r="D48" s="159"/>
      <c r="E48" s="167">
        <v>0.01</v>
      </c>
      <c r="F48" s="39">
        <f t="shared" si="0"/>
        <v>4.5000000000000005E-3</v>
      </c>
      <c r="G48" s="40">
        <f t="shared" si="1"/>
        <v>5.0000000000000001E-4</v>
      </c>
      <c r="H48" s="163">
        <v>1E-4</v>
      </c>
      <c r="J48" s="173">
        <f t="shared" ref="J48:J53" si="2">SUM(H48/20)</f>
        <v>5.0000000000000004E-6</v>
      </c>
      <c r="K48" s="174">
        <f t="shared" ref="K48:K57" si="3">SUM(J48*9)</f>
        <v>4.5000000000000003E-5</v>
      </c>
    </row>
    <row r="49" spans="1:11" ht="16.5" thickBot="1">
      <c r="A49" s="259" t="s">
        <v>265</v>
      </c>
      <c r="B49" s="261"/>
      <c r="C49" s="259"/>
      <c r="D49" s="160" t="s">
        <v>266</v>
      </c>
      <c r="E49" s="167">
        <v>2E-3</v>
      </c>
      <c r="F49" s="39">
        <f t="shared" si="0"/>
        <v>9.0000000000000008E-4</v>
      </c>
      <c r="G49" s="40">
        <f t="shared" si="1"/>
        <v>1E-4</v>
      </c>
      <c r="H49" s="163">
        <v>2.0000000000000001E-4</v>
      </c>
      <c r="J49" s="173">
        <f t="shared" si="2"/>
        <v>1.0000000000000001E-5</v>
      </c>
      <c r="K49" s="175">
        <f t="shared" si="3"/>
        <v>9.0000000000000006E-5</v>
      </c>
    </row>
    <row r="50" spans="1:11" ht="16.5" thickBot="1">
      <c r="A50" s="260"/>
      <c r="B50" s="262"/>
      <c r="C50" s="260"/>
      <c r="D50" s="161" t="s">
        <v>267</v>
      </c>
      <c r="E50" s="167">
        <v>7.0000000000000001E-3</v>
      </c>
      <c r="F50" s="39">
        <f t="shared" si="0"/>
        <v>3.15E-3</v>
      </c>
      <c r="G50" s="40">
        <f t="shared" si="1"/>
        <v>3.5E-4</v>
      </c>
      <c r="H50" s="165">
        <v>0</v>
      </c>
      <c r="J50" s="173">
        <f t="shared" si="2"/>
        <v>0</v>
      </c>
      <c r="K50" s="175">
        <f t="shared" si="3"/>
        <v>0</v>
      </c>
    </row>
    <row r="51" spans="1:11" ht="16.5" thickBot="1">
      <c r="A51" s="159" t="s">
        <v>268</v>
      </c>
      <c r="B51" s="166">
        <v>19.899999999999999</v>
      </c>
      <c r="C51" s="166" t="s">
        <v>381</v>
      </c>
      <c r="D51" s="166"/>
      <c r="E51" s="167">
        <v>0</v>
      </c>
      <c r="F51" s="39">
        <f t="shared" si="0"/>
        <v>0</v>
      </c>
      <c r="G51" s="40">
        <f t="shared" si="1"/>
        <v>0</v>
      </c>
      <c r="H51" s="163">
        <v>4.7000000000000002E-3</v>
      </c>
      <c r="J51" s="173">
        <f t="shared" si="2"/>
        <v>2.3500000000000002E-4</v>
      </c>
      <c r="K51" s="175">
        <f t="shared" si="3"/>
        <v>2.1150000000000001E-3</v>
      </c>
    </row>
    <row r="52" spans="1:11" ht="16.5" thickBot="1">
      <c r="A52" s="159" t="s">
        <v>270</v>
      </c>
      <c r="B52" s="166">
        <v>0.01</v>
      </c>
      <c r="C52" s="166" t="s">
        <v>382</v>
      </c>
      <c r="D52" s="182">
        <v>2.0000000000000001E-4</v>
      </c>
      <c r="E52" s="167">
        <v>1.4</v>
      </c>
      <c r="F52" s="39">
        <f t="shared" si="0"/>
        <v>0.62999999999999989</v>
      </c>
      <c r="G52" s="40">
        <f t="shared" si="1"/>
        <v>6.9999999999999993E-2</v>
      </c>
      <c r="H52" s="163">
        <v>7.22E-2</v>
      </c>
      <c r="J52" s="173">
        <f t="shared" si="2"/>
        <v>3.6099999999999999E-3</v>
      </c>
      <c r="K52" s="175">
        <f t="shared" si="3"/>
        <v>3.2489999999999998E-2</v>
      </c>
    </row>
    <row r="53" spans="1:11" ht="16.5" thickBot="1">
      <c r="A53" s="159" t="s">
        <v>14</v>
      </c>
      <c r="B53" s="166">
        <v>2E-3</v>
      </c>
      <c r="C53" s="166" t="s">
        <v>382</v>
      </c>
      <c r="D53" s="182">
        <v>1E-4</v>
      </c>
      <c r="E53" s="167">
        <v>144.5</v>
      </c>
      <c r="F53" s="39">
        <f t="shared" si="0"/>
        <v>65.024999999999991</v>
      </c>
      <c r="G53" s="40">
        <f t="shared" si="1"/>
        <v>7.2249999999999996</v>
      </c>
      <c r="H53" s="163">
        <v>1.95E-2</v>
      </c>
      <c r="J53" s="173">
        <f t="shared" si="2"/>
        <v>9.7499999999999996E-4</v>
      </c>
      <c r="K53" s="175">
        <f t="shared" si="3"/>
        <v>8.7749999999999998E-3</v>
      </c>
    </row>
    <row r="54" spans="1:11" ht="16.5" thickBot="1">
      <c r="A54" s="159" t="s">
        <v>16</v>
      </c>
      <c r="B54" s="166">
        <v>7.0000000000000001E-3</v>
      </c>
      <c r="C54" s="166" t="s">
        <v>382</v>
      </c>
      <c r="D54" s="182">
        <v>2.0000000000000001E-4</v>
      </c>
      <c r="E54" s="167">
        <v>4.8600000000000003</v>
      </c>
      <c r="F54" s="39">
        <f t="shared" si="0"/>
        <v>2.1870000000000003</v>
      </c>
      <c r="G54" s="40">
        <f t="shared" si="1"/>
        <v>0.24300000000000002</v>
      </c>
      <c r="H54" s="163">
        <v>4.0000000000000001E-3</v>
      </c>
      <c r="J54" s="173">
        <f>SUM(H54/20)</f>
        <v>2.0000000000000001E-4</v>
      </c>
      <c r="K54" s="175">
        <f t="shared" si="3"/>
        <v>1.8000000000000002E-3</v>
      </c>
    </row>
    <row r="55" spans="1:11" ht="16.5" thickBot="1">
      <c r="A55" s="159" t="s">
        <v>274</v>
      </c>
      <c r="B55" s="166">
        <v>0</v>
      </c>
      <c r="C55" s="166" t="s">
        <v>382</v>
      </c>
      <c r="D55" s="183">
        <v>0</v>
      </c>
      <c r="E55" s="167">
        <v>0.15</v>
      </c>
      <c r="F55" s="39">
        <f t="shared" si="0"/>
        <v>6.7500000000000004E-2</v>
      </c>
      <c r="G55" s="40">
        <f t="shared" si="1"/>
        <v>7.4999999999999997E-3</v>
      </c>
      <c r="H55" s="163">
        <v>1.6899999999999998E-2</v>
      </c>
      <c r="J55" s="173">
        <f>SUM(H55/20)</f>
        <v>8.4499999999999994E-4</v>
      </c>
      <c r="K55" s="175">
        <f t="shared" si="3"/>
        <v>7.6049999999999998E-3</v>
      </c>
    </row>
    <row r="56" spans="1:11" ht="16.5" thickBot="1">
      <c r="A56" s="159" t="s">
        <v>20</v>
      </c>
      <c r="B56" s="166">
        <v>1.4</v>
      </c>
      <c r="C56" s="166" t="s">
        <v>383</v>
      </c>
      <c r="D56" s="182">
        <v>4.7000000000000002E-3</v>
      </c>
      <c r="E56" s="167">
        <v>4.22</v>
      </c>
      <c r="F56" s="39">
        <f t="shared" si="0"/>
        <v>1.899</v>
      </c>
      <c r="G56" s="40">
        <f t="shared" si="1"/>
        <v>0.21099999999999999</v>
      </c>
      <c r="H56" s="163">
        <v>1.6E-2</v>
      </c>
      <c r="J56" s="173">
        <f>SUM(H56/20)</f>
        <v>8.0000000000000004E-4</v>
      </c>
      <c r="K56" s="175">
        <f t="shared" si="3"/>
        <v>7.2000000000000007E-3</v>
      </c>
    </row>
    <row r="57" spans="1:11" ht="16.5" thickBot="1">
      <c r="A57" s="159" t="s">
        <v>22</v>
      </c>
      <c r="B57" s="166">
        <v>144.5</v>
      </c>
      <c r="C57" s="166" t="s">
        <v>383</v>
      </c>
      <c r="D57" s="182">
        <v>7.22E-2</v>
      </c>
      <c r="E57" s="167">
        <v>3.99</v>
      </c>
      <c r="F57" s="39">
        <f t="shared" si="0"/>
        <v>1.7955000000000001</v>
      </c>
      <c r="G57" s="40">
        <f t="shared" si="1"/>
        <v>0.19950000000000001</v>
      </c>
      <c r="H57" s="163">
        <v>6.9999999999999999E-4</v>
      </c>
      <c r="I57" s="176"/>
      <c r="J57" s="177">
        <f>SUM(H57/20)</f>
        <v>3.4999999999999997E-5</v>
      </c>
      <c r="K57" s="178">
        <f t="shared" si="3"/>
        <v>3.1499999999999996E-4</v>
      </c>
    </row>
    <row r="58" spans="1:11" ht="15" customHeight="1" thickBot="1">
      <c r="A58" s="159" t="s">
        <v>24</v>
      </c>
      <c r="B58" s="166">
        <v>4.8600000000000003</v>
      </c>
      <c r="C58" s="166" t="s">
        <v>382</v>
      </c>
      <c r="D58" s="182">
        <v>1.95E-2</v>
      </c>
      <c r="E58" s="168">
        <v>0.08</v>
      </c>
      <c r="F58" s="197">
        <f t="shared" si="0"/>
        <v>3.6000000000000004E-2</v>
      </c>
      <c r="G58" s="169">
        <f t="shared" si="1"/>
        <v>4.0000000000000001E-3</v>
      </c>
    </row>
    <row r="59" spans="1:11" ht="16.5" thickBot="1">
      <c r="A59" s="159" t="s">
        <v>26</v>
      </c>
      <c r="B59" s="166">
        <v>0.15</v>
      </c>
      <c r="C59" s="166" t="s">
        <v>382</v>
      </c>
      <c r="D59" s="182">
        <v>4.0000000000000001E-3</v>
      </c>
    </row>
    <row r="60" spans="1:11" ht="16.5" thickBot="1">
      <c r="A60" s="159" t="s">
        <v>277</v>
      </c>
      <c r="B60" s="166">
        <v>4.22</v>
      </c>
      <c r="C60" s="166" t="s">
        <v>382</v>
      </c>
      <c r="D60" s="182">
        <v>1.6899999999999998E-2</v>
      </c>
    </row>
    <row r="61" spans="1:11" ht="16.5" thickBot="1">
      <c r="A61" s="159" t="s">
        <v>30</v>
      </c>
      <c r="B61" s="166">
        <v>3.99</v>
      </c>
      <c r="C61" s="166" t="s">
        <v>382</v>
      </c>
      <c r="D61" s="182">
        <v>1.6E-2</v>
      </c>
    </row>
    <row r="62" spans="1:11" ht="16.5" thickBot="1">
      <c r="A62" s="159" t="s">
        <v>279</v>
      </c>
      <c r="B62" s="166">
        <v>0.08</v>
      </c>
      <c r="C62" s="166" t="s">
        <v>382</v>
      </c>
      <c r="D62" s="182">
        <v>6.9999999999999999E-4</v>
      </c>
    </row>
    <row r="63" spans="1:11" ht="15.75">
      <c r="A63" s="263" t="s">
        <v>281</v>
      </c>
      <c r="B63" s="264"/>
      <c r="C63" s="264"/>
      <c r="D63" s="265"/>
    </row>
    <row r="64" spans="1:11" ht="16.5" thickBot="1">
      <c r="A64" s="256" t="s">
        <v>282</v>
      </c>
      <c r="B64" s="257"/>
      <c r="C64" s="257"/>
      <c r="D64" s="258"/>
    </row>
    <row r="66" spans="1:4" ht="15.75" thickBot="1"/>
    <row r="67" spans="1:4" ht="30.75" thickBot="1">
      <c r="A67" s="158" t="s">
        <v>386</v>
      </c>
      <c r="B67" s="159"/>
      <c r="C67" s="159"/>
      <c r="D67" s="159"/>
    </row>
    <row r="68" spans="1:4" ht="16.5" thickBot="1">
      <c r="A68" s="159" t="s">
        <v>261</v>
      </c>
      <c r="B68" s="159"/>
      <c r="C68" s="159"/>
      <c r="D68" s="159"/>
    </row>
    <row r="69" spans="1:4" ht="16.5" thickBot="1">
      <c r="A69" s="159" t="s">
        <v>262</v>
      </c>
      <c r="B69" s="166" t="s">
        <v>297</v>
      </c>
      <c r="C69" s="166"/>
      <c r="D69" s="166"/>
    </row>
    <row r="70" spans="1:4" ht="16.5" thickBot="1">
      <c r="A70" s="159" t="s">
        <v>264</v>
      </c>
      <c r="B70" s="166" t="s">
        <v>7</v>
      </c>
      <c r="C70" s="166"/>
      <c r="D70" s="166"/>
    </row>
    <row r="71" spans="1:4" ht="15.75">
      <c r="A71" s="259" t="s">
        <v>265</v>
      </c>
      <c r="B71" s="261"/>
      <c r="C71" s="261"/>
      <c r="D71" s="179" t="s">
        <v>266</v>
      </c>
    </row>
    <row r="72" spans="1:4" ht="16.5" thickBot="1">
      <c r="A72" s="260"/>
      <c r="B72" s="262"/>
      <c r="C72" s="262"/>
      <c r="D72" s="180" t="s">
        <v>267</v>
      </c>
    </row>
    <row r="73" spans="1:4" ht="16.5" thickBot="1">
      <c r="A73" s="159" t="s">
        <v>268</v>
      </c>
      <c r="B73" s="192">
        <v>8.9549999999999983</v>
      </c>
      <c r="C73" s="166" t="s">
        <v>381</v>
      </c>
      <c r="D73" s="166"/>
    </row>
    <row r="74" spans="1:4" ht="16.5" thickBot="1">
      <c r="A74" s="159" t="s">
        <v>270</v>
      </c>
      <c r="B74" s="181">
        <v>4.5000000000000005E-3</v>
      </c>
      <c r="C74" s="166" t="s">
        <v>382</v>
      </c>
      <c r="D74" s="182">
        <v>9.0000000000000006E-5</v>
      </c>
    </row>
    <row r="75" spans="1:4" ht="16.5" thickBot="1">
      <c r="A75" s="159" t="s">
        <v>14</v>
      </c>
      <c r="B75" s="181">
        <v>9.0000000000000008E-4</v>
      </c>
      <c r="C75" s="166" t="s">
        <v>382</v>
      </c>
      <c r="D75" s="193">
        <v>4.5000000000000003E-5</v>
      </c>
    </row>
    <row r="76" spans="1:4" ht="16.5" thickBot="1">
      <c r="A76" s="159" t="s">
        <v>16</v>
      </c>
      <c r="B76" s="181">
        <v>3.15E-3</v>
      </c>
      <c r="C76" s="166" t="s">
        <v>382</v>
      </c>
      <c r="D76" s="182">
        <v>9.0000000000000006E-5</v>
      </c>
    </row>
    <row r="77" spans="1:4" ht="16.5" thickBot="1">
      <c r="A77" s="159" t="s">
        <v>274</v>
      </c>
      <c r="B77" s="166">
        <v>0</v>
      </c>
      <c r="C77" s="166" t="s">
        <v>382</v>
      </c>
      <c r="D77" s="183">
        <v>0</v>
      </c>
    </row>
    <row r="78" spans="1:4" ht="16.5" thickBot="1">
      <c r="A78" s="159" t="s">
        <v>20</v>
      </c>
      <c r="B78" s="191">
        <v>0.62999999999999989</v>
      </c>
      <c r="C78" s="166" t="s">
        <v>383</v>
      </c>
      <c r="D78" s="194">
        <v>2.1150000000000001E-3</v>
      </c>
    </row>
    <row r="79" spans="1:4" ht="16.5" thickBot="1">
      <c r="A79" s="159" t="s">
        <v>22</v>
      </c>
      <c r="B79" s="192">
        <v>65.024999999999991</v>
      </c>
      <c r="C79" s="166" t="s">
        <v>383</v>
      </c>
      <c r="D79" s="182">
        <v>3.2489999999999998E-2</v>
      </c>
    </row>
    <row r="80" spans="1:4" ht="16.5" customHeight="1" thickBot="1">
      <c r="A80" s="159" t="s">
        <v>24</v>
      </c>
      <c r="B80" s="184">
        <v>2.1870000000000003</v>
      </c>
      <c r="C80" s="166" t="s">
        <v>382</v>
      </c>
      <c r="D80" s="182">
        <v>8.7749999999999998E-3</v>
      </c>
    </row>
    <row r="81" spans="1:4" ht="16.5" thickBot="1">
      <c r="A81" s="159" t="s">
        <v>26</v>
      </c>
      <c r="B81" s="184">
        <v>6.7500000000000004E-2</v>
      </c>
      <c r="C81" s="166" t="s">
        <v>382</v>
      </c>
      <c r="D81" s="182">
        <v>1.8000000000000002E-3</v>
      </c>
    </row>
    <row r="82" spans="1:4" ht="16.5" thickBot="1">
      <c r="A82" s="159" t="s">
        <v>277</v>
      </c>
      <c r="B82" s="191">
        <v>1.899</v>
      </c>
      <c r="C82" s="166" t="s">
        <v>382</v>
      </c>
      <c r="D82" s="182">
        <v>7.6049999999999998E-3</v>
      </c>
    </row>
    <row r="83" spans="1:4" ht="16.5" thickBot="1">
      <c r="A83" s="159" t="s">
        <v>30</v>
      </c>
      <c r="B83" s="191">
        <v>1.7955000000000001</v>
      </c>
      <c r="C83" s="166" t="s">
        <v>382</v>
      </c>
      <c r="D83" s="194">
        <v>7.2000000000000007E-3</v>
      </c>
    </row>
    <row r="84" spans="1:4" ht="16.5" thickBot="1">
      <c r="A84" s="159" t="s">
        <v>279</v>
      </c>
      <c r="B84" s="184">
        <v>3.6000000000000004E-2</v>
      </c>
      <c r="C84" s="166" t="s">
        <v>382</v>
      </c>
      <c r="D84" s="182">
        <v>3.1499999999999996E-4</v>
      </c>
    </row>
    <row r="85" spans="1:4" ht="15.75">
      <c r="A85" s="263" t="s">
        <v>281</v>
      </c>
      <c r="B85" s="264"/>
      <c r="C85" s="264"/>
      <c r="D85" s="265"/>
    </row>
    <row r="86" spans="1:4" ht="16.5" thickBot="1">
      <c r="A86" s="256" t="s">
        <v>282</v>
      </c>
      <c r="B86" s="257"/>
      <c r="C86" s="257"/>
      <c r="D86" s="258"/>
    </row>
    <row r="103" ht="32.25" customHeight="1"/>
  </sheetData>
  <mergeCells count="30">
    <mergeCell ref="F38:I38"/>
    <mergeCell ref="F21:I21"/>
    <mergeCell ref="F24:G24"/>
    <mergeCell ref="F37:I37"/>
    <mergeCell ref="A1:B1"/>
    <mergeCell ref="A2:B2"/>
    <mergeCell ref="D3:D4"/>
    <mergeCell ref="A5:B5"/>
    <mergeCell ref="A18:D18"/>
    <mergeCell ref="F1:H1"/>
    <mergeCell ref="F2:H2"/>
    <mergeCell ref="I3:I4"/>
    <mergeCell ref="F5:H5"/>
    <mergeCell ref="F18:I18"/>
    <mergeCell ref="D24:D25"/>
    <mergeCell ref="A22:D22"/>
    <mergeCell ref="A23:D23"/>
    <mergeCell ref="A26:B26"/>
    <mergeCell ref="A85:D85"/>
    <mergeCell ref="A39:D39"/>
    <mergeCell ref="A40:D40"/>
    <mergeCell ref="A86:D86"/>
    <mergeCell ref="A71:A72"/>
    <mergeCell ref="B71:B72"/>
    <mergeCell ref="C71:C72"/>
    <mergeCell ref="A49:A50"/>
    <mergeCell ref="B49:B50"/>
    <mergeCell ref="C49:C50"/>
    <mergeCell ref="A63:D63"/>
    <mergeCell ref="A64:D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093B-68AA-4BF5-93D8-2C5F686F326A}">
  <dimension ref="A1:C19"/>
  <sheetViews>
    <sheetView workbookViewId="0">
      <selection activeCell="B26" sqref="B26"/>
    </sheetView>
  </sheetViews>
  <sheetFormatPr defaultRowHeight="15"/>
  <cols>
    <col min="1" max="1" width="36.140625" customWidth="1"/>
    <col min="2" max="2" width="23.85546875" customWidth="1"/>
    <col min="3" max="3" width="34.85546875" customWidth="1"/>
  </cols>
  <sheetData>
    <row r="1" spans="1:3" ht="39" customHeight="1">
      <c r="A1" s="281" t="s">
        <v>393</v>
      </c>
      <c r="B1" s="282"/>
      <c r="C1" s="283"/>
    </row>
    <row r="2" spans="1:3" ht="30" customHeight="1">
      <c r="A2" s="274" t="s">
        <v>261</v>
      </c>
      <c r="B2" s="238"/>
      <c r="C2" s="204"/>
    </row>
    <row r="3" spans="1:3">
      <c r="A3" s="70" t="s">
        <v>264</v>
      </c>
      <c r="B3" s="5" t="s">
        <v>37</v>
      </c>
      <c r="C3" s="204"/>
    </row>
    <row r="4" spans="1:3">
      <c r="A4" s="274" t="s">
        <v>265</v>
      </c>
      <c r="B4" s="238"/>
      <c r="C4" s="69" t="s">
        <v>266</v>
      </c>
    </row>
    <row r="5" spans="1:3">
      <c r="A5" s="274"/>
      <c r="B5" s="238"/>
      <c r="C5" s="69" t="s">
        <v>267</v>
      </c>
    </row>
    <row r="6" spans="1:3">
      <c r="A6" s="70" t="s">
        <v>268</v>
      </c>
      <c r="B6" s="5" t="s">
        <v>394</v>
      </c>
      <c r="C6" s="204"/>
    </row>
    <row r="7" spans="1:3">
      <c r="A7" s="70" t="s">
        <v>270</v>
      </c>
      <c r="B7" s="5" t="s">
        <v>395</v>
      </c>
      <c r="C7" s="205">
        <v>0.11</v>
      </c>
    </row>
    <row r="8" spans="1:3">
      <c r="A8" s="70" t="s">
        <v>14</v>
      </c>
      <c r="B8" s="5" t="s">
        <v>234</v>
      </c>
      <c r="C8" s="206">
        <v>0.13500000000000001</v>
      </c>
    </row>
    <row r="9" spans="1:3">
      <c r="A9" s="70" t="s">
        <v>16</v>
      </c>
      <c r="B9" s="5" t="s">
        <v>396</v>
      </c>
      <c r="C9" s="206">
        <v>0.111</v>
      </c>
    </row>
    <row r="10" spans="1:3">
      <c r="A10" s="70" t="s">
        <v>274</v>
      </c>
      <c r="B10" s="5" t="s">
        <v>54</v>
      </c>
      <c r="C10" s="205">
        <v>0</v>
      </c>
    </row>
    <row r="11" spans="1:3">
      <c r="A11" s="70" t="s">
        <v>20</v>
      </c>
      <c r="B11" s="5" t="s">
        <v>290</v>
      </c>
      <c r="C11" s="205">
        <v>0</v>
      </c>
    </row>
    <row r="12" spans="1:3">
      <c r="A12" s="70" t="s">
        <v>22</v>
      </c>
      <c r="B12" s="5" t="s">
        <v>397</v>
      </c>
      <c r="C12" s="206">
        <v>3.4000000000000002E-2</v>
      </c>
    </row>
    <row r="13" spans="1:3">
      <c r="A13" s="70" t="s">
        <v>24</v>
      </c>
      <c r="B13" s="5" t="s">
        <v>398</v>
      </c>
      <c r="C13" s="206">
        <v>4.8000000000000001E-2</v>
      </c>
    </row>
    <row r="14" spans="1:3">
      <c r="A14" s="70" t="s">
        <v>26</v>
      </c>
      <c r="B14" s="5" t="s">
        <v>305</v>
      </c>
      <c r="C14" s="206">
        <v>6.0000000000000001E-3</v>
      </c>
    </row>
    <row r="15" spans="1:3">
      <c r="A15" s="70" t="s">
        <v>277</v>
      </c>
      <c r="B15" s="5" t="s">
        <v>399</v>
      </c>
      <c r="C15" s="206">
        <v>4.7E-2</v>
      </c>
    </row>
    <row r="16" spans="1:3">
      <c r="A16" s="70" t="s">
        <v>30</v>
      </c>
      <c r="B16" s="5" t="s">
        <v>7</v>
      </c>
      <c r="C16" s="206">
        <v>3.5999999999999997E-2</v>
      </c>
    </row>
    <row r="17" spans="1:3">
      <c r="A17" s="70" t="s">
        <v>279</v>
      </c>
      <c r="B17" s="5" t="s">
        <v>400</v>
      </c>
      <c r="C17" s="206">
        <v>6.3E-3</v>
      </c>
    </row>
    <row r="18" spans="1:3" ht="22.5" customHeight="1">
      <c r="A18" s="275" t="s">
        <v>281</v>
      </c>
      <c r="B18" s="276"/>
      <c r="C18" s="277"/>
    </row>
    <row r="19" spans="1:3" ht="14.25" customHeight="1" thickBot="1">
      <c r="A19" s="278" t="s">
        <v>282</v>
      </c>
      <c r="B19" s="279"/>
      <c r="C19" s="280"/>
    </row>
  </sheetData>
  <mergeCells count="5">
    <mergeCell ref="A2:B2"/>
    <mergeCell ref="A4:B5"/>
    <mergeCell ref="A18:C18"/>
    <mergeCell ref="A19:C19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A67E-6138-47C0-9709-E1DDDA4916C6}">
  <dimension ref="A1:C20"/>
  <sheetViews>
    <sheetView workbookViewId="0">
      <selection sqref="A1:C20"/>
    </sheetView>
  </sheetViews>
  <sheetFormatPr defaultRowHeight="15"/>
  <cols>
    <col min="1" max="1" width="65.42578125" customWidth="1"/>
    <col min="2" max="2" width="19.140625" customWidth="1"/>
    <col min="3" max="3" width="21" customWidth="1"/>
  </cols>
  <sheetData>
    <row r="1" spans="1:3">
      <c r="A1" s="56" t="s">
        <v>335</v>
      </c>
      <c r="B1" s="57"/>
      <c r="C1" s="58"/>
    </row>
    <row r="2" spans="1:3">
      <c r="A2" s="59" t="s">
        <v>261</v>
      </c>
      <c r="B2" s="39"/>
      <c r="C2" s="60"/>
    </row>
    <row r="3" spans="1:3">
      <c r="A3" s="59" t="s">
        <v>262</v>
      </c>
      <c r="B3" s="39" t="s">
        <v>297</v>
      </c>
      <c r="C3" s="60"/>
    </row>
    <row r="4" spans="1:3">
      <c r="A4" s="59" t="s">
        <v>264</v>
      </c>
      <c r="B4" s="39" t="s">
        <v>37</v>
      </c>
      <c r="C4" s="60"/>
    </row>
    <row r="5" spans="1:3">
      <c r="A5" s="59" t="s">
        <v>265</v>
      </c>
      <c r="B5" s="39"/>
      <c r="C5" s="60" t="s">
        <v>266</v>
      </c>
    </row>
    <row r="6" spans="1:3">
      <c r="A6" s="59"/>
      <c r="B6" s="39"/>
      <c r="C6" s="60" t="s">
        <v>267</v>
      </c>
    </row>
    <row r="7" spans="1:3">
      <c r="A7" s="59" t="s">
        <v>268</v>
      </c>
      <c r="B7" s="39" t="s">
        <v>336</v>
      </c>
      <c r="C7" s="60"/>
    </row>
    <row r="8" spans="1:3">
      <c r="A8" s="59" t="s">
        <v>270</v>
      </c>
      <c r="B8" s="39" t="s">
        <v>234</v>
      </c>
      <c r="C8" s="61">
        <v>4.9000000000000002E-2</v>
      </c>
    </row>
    <row r="9" spans="1:3">
      <c r="A9" s="59" t="s">
        <v>14</v>
      </c>
      <c r="B9" s="39" t="s">
        <v>337</v>
      </c>
      <c r="C9" s="61">
        <v>1.9E-2</v>
      </c>
    </row>
    <row r="10" spans="1:3">
      <c r="A10" s="59" t="s">
        <v>16</v>
      </c>
      <c r="B10" s="39" t="s">
        <v>258</v>
      </c>
      <c r="C10" s="61">
        <v>7.2999999999999995E-2</v>
      </c>
    </row>
    <row r="11" spans="1:3">
      <c r="A11" s="59" t="s">
        <v>274</v>
      </c>
      <c r="B11" s="39" t="s">
        <v>54</v>
      </c>
      <c r="C11" s="62">
        <v>0</v>
      </c>
    </row>
    <row r="12" spans="1:3">
      <c r="A12" s="59" t="s">
        <v>20</v>
      </c>
      <c r="B12" s="39" t="s">
        <v>290</v>
      </c>
      <c r="C12" s="62">
        <v>0</v>
      </c>
    </row>
    <row r="13" spans="1:3">
      <c r="A13" s="59" t="s">
        <v>22</v>
      </c>
      <c r="B13" s="39" t="s">
        <v>338</v>
      </c>
      <c r="C13" s="61">
        <v>0.16400000000000001</v>
      </c>
    </row>
    <row r="14" spans="1:3">
      <c r="A14" s="59" t="s">
        <v>24</v>
      </c>
      <c r="B14" s="39" t="s">
        <v>339</v>
      </c>
      <c r="C14" s="61">
        <v>6.4000000000000003E-3</v>
      </c>
    </row>
    <row r="15" spans="1:3">
      <c r="A15" s="59" t="s">
        <v>26</v>
      </c>
      <c r="B15" s="39" t="s">
        <v>340</v>
      </c>
      <c r="C15" s="62">
        <v>0.02</v>
      </c>
    </row>
    <row r="16" spans="1:3">
      <c r="A16" s="59" t="s">
        <v>277</v>
      </c>
      <c r="B16" s="39" t="s">
        <v>106</v>
      </c>
      <c r="C16" s="61">
        <v>1E-4</v>
      </c>
    </row>
    <row r="17" spans="1:3">
      <c r="A17" s="59" t="s">
        <v>30</v>
      </c>
      <c r="B17" s="39" t="s">
        <v>54</v>
      </c>
      <c r="C17" s="62">
        <v>0</v>
      </c>
    </row>
    <row r="18" spans="1:3">
      <c r="A18" s="59" t="s">
        <v>279</v>
      </c>
      <c r="B18" s="39" t="s">
        <v>169</v>
      </c>
      <c r="C18" s="61">
        <v>7.0000000000000001E-3</v>
      </c>
    </row>
    <row r="19" spans="1:3">
      <c r="A19" s="59" t="s">
        <v>281</v>
      </c>
      <c r="B19" s="39"/>
      <c r="C19" s="60"/>
    </row>
    <row r="20" spans="1:3" ht="15.75" thickBot="1">
      <c r="A20" s="63" t="s">
        <v>282</v>
      </c>
      <c r="B20" s="64"/>
      <c r="C20" s="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ADC5-552C-4034-9E63-68220D0C28F0}">
  <dimension ref="A1:C20"/>
  <sheetViews>
    <sheetView workbookViewId="0">
      <selection sqref="A1:C22"/>
    </sheetView>
  </sheetViews>
  <sheetFormatPr defaultRowHeight="15"/>
  <cols>
    <col min="1" max="1" width="59" bestFit="1" customWidth="1"/>
    <col min="2" max="2" width="26.7109375" customWidth="1"/>
    <col min="3" max="3" width="15" customWidth="1"/>
  </cols>
  <sheetData>
    <row r="1" spans="1:3">
      <c r="A1" s="56" t="s">
        <v>341</v>
      </c>
      <c r="B1" s="57"/>
      <c r="C1" s="58"/>
    </row>
    <row r="2" spans="1:3">
      <c r="A2" s="59" t="s">
        <v>261</v>
      </c>
      <c r="B2" s="39"/>
      <c r="C2" s="60"/>
    </row>
    <row r="3" spans="1:3">
      <c r="A3" s="59" t="s">
        <v>262</v>
      </c>
      <c r="B3" s="39" t="s">
        <v>297</v>
      </c>
      <c r="C3" s="60"/>
    </row>
    <row r="4" spans="1:3">
      <c r="A4" s="59" t="s">
        <v>264</v>
      </c>
      <c r="B4" s="39" t="s">
        <v>37</v>
      </c>
      <c r="C4" s="60"/>
    </row>
    <row r="5" spans="1:3">
      <c r="A5" s="59" t="s">
        <v>265</v>
      </c>
      <c r="B5" s="39"/>
      <c r="C5" s="60" t="s">
        <v>266</v>
      </c>
    </row>
    <row r="6" spans="1:3">
      <c r="A6" s="59"/>
      <c r="B6" s="39"/>
      <c r="C6" s="60" t="s">
        <v>267</v>
      </c>
    </row>
    <row r="7" spans="1:3">
      <c r="A7" s="59" t="s">
        <v>268</v>
      </c>
      <c r="B7" s="39" t="s">
        <v>342</v>
      </c>
      <c r="C7" s="60"/>
    </row>
    <row r="8" spans="1:3">
      <c r="A8" s="59" t="s">
        <v>270</v>
      </c>
      <c r="B8" s="39" t="s">
        <v>234</v>
      </c>
      <c r="C8" s="61">
        <v>4.9000000000000002E-2</v>
      </c>
    </row>
    <row r="9" spans="1:3">
      <c r="A9" s="59" t="s">
        <v>14</v>
      </c>
      <c r="B9" s="39" t="s">
        <v>337</v>
      </c>
      <c r="C9" s="61">
        <v>1.9E-2</v>
      </c>
    </row>
    <row r="10" spans="1:3">
      <c r="A10" s="59" t="s">
        <v>16</v>
      </c>
      <c r="B10" s="39" t="s">
        <v>258</v>
      </c>
      <c r="C10" s="61">
        <v>7.2999999999999995E-2</v>
      </c>
    </row>
    <row r="11" spans="1:3">
      <c r="A11" s="59" t="s">
        <v>274</v>
      </c>
      <c r="B11" s="39" t="s">
        <v>54</v>
      </c>
      <c r="C11" s="62">
        <v>0</v>
      </c>
    </row>
    <row r="12" spans="1:3">
      <c r="A12" s="59" t="s">
        <v>20</v>
      </c>
      <c r="B12" s="39" t="s">
        <v>290</v>
      </c>
      <c r="C12" s="62">
        <v>0</v>
      </c>
    </row>
    <row r="13" spans="1:3">
      <c r="A13" s="59" t="s">
        <v>22</v>
      </c>
      <c r="B13" s="39" t="s">
        <v>343</v>
      </c>
      <c r="C13" s="61">
        <v>8.2000000000000003E-2</v>
      </c>
    </row>
    <row r="14" spans="1:3">
      <c r="A14" s="59" t="s">
        <v>24</v>
      </c>
      <c r="B14" s="39" t="s">
        <v>344</v>
      </c>
      <c r="C14" s="61">
        <v>5.4000000000000003E-3</v>
      </c>
    </row>
    <row r="15" spans="1:3">
      <c r="A15" s="59" t="s">
        <v>26</v>
      </c>
      <c r="B15" s="39" t="s">
        <v>340</v>
      </c>
      <c r="C15" s="62">
        <v>0.02</v>
      </c>
    </row>
    <row r="16" spans="1:3">
      <c r="A16" s="59" t="s">
        <v>277</v>
      </c>
      <c r="B16" s="39" t="s">
        <v>106</v>
      </c>
      <c r="C16" s="61">
        <v>1E-4</v>
      </c>
    </row>
    <row r="17" spans="1:3">
      <c r="A17" s="59" t="s">
        <v>30</v>
      </c>
      <c r="B17" s="39" t="s">
        <v>54</v>
      </c>
      <c r="C17" s="62">
        <v>0</v>
      </c>
    </row>
    <row r="18" spans="1:3">
      <c r="A18" s="59" t="s">
        <v>279</v>
      </c>
      <c r="B18" s="39" t="s">
        <v>169</v>
      </c>
      <c r="C18" s="61">
        <v>7.0000000000000001E-3</v>
      </c>
    </row>
    <row r="19" spans="1:3">
      <c r="A19" s="59" t="s">
        <v>281</v>
      </c>
      <c r="B19" s="39"/>
      <c r="C19" s="60"/>
    </row>
    <row r="20" spans="1:3" ht="15.75" thickBot="1">
      <c r="A20" s="63" t="s">
        <v>282</v>
      </c>
      <c r="B20" s="64"/>
      <c r="C20" s="6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598C-AB2E-4B9E-BD30-04045D5767AF}">
  <dimension ref="A1:C20"/>
  <sheetViews>
    <sheetView workbookViewId="0">
      <selection sqref="A1:C20"/>
    </sheetView>
  </sheetViews>
  <sheetFormatPr defaultRowHeight="15"/>
  <cols>
    <col min="1" max="1" width="57.7109375" customWidth="1"/>
    <col min="2" max="2" width="18.42578125" customWidth="1"/>
    <col min="3" max="3" width="20.28515625" customWidth="1"/>
  </cols>
  <sheetData>
    <row r="1" spans="1:3">
      <c r="A1" s="56" t="s">
        <v>345</v>
      </c>
      <c r="B1" s="57"/>
      <c r="C1" s="58"/>
    </row>
    <row r="2" spans="1:3">
      <c r="A2" s="59" t="s">
        <v>261</v>
      </c>
      <c r="B2" s="39"/>
      <c r="C2" s="60"/>
    </row>
    <row r="3" spans="1:3">
      <c r="A3" s="59" t="s">
        <v>262</v>
      </c>
      <c r="B3" s="39" t="s">
        <v>297</v>
      </c>
      <c r="C3" s="60"/>
    </row>
    <row r="4" spans="1:3">
      <c r="A4" s="59" t="s">
        <v>264</v>
      </c>
      <c r="B4" s="39" t="s">
        <v>37</v>
      </c>
      <c r="C4" s="60"/>
    </row>
    <row r="5" spans="1:3">
      <c r="A5" s="59" t="s">
        <v>265</v>
      </c>
      <c r="B5" s="39"/>
      <c r="C5" s="60" t="s">
        <v>266</v>
      </c>
    </row>
    <row r="6" spans="1:3">
      <c r="A6" s="59"/>
      <c r="B6" s="39"/>
      <c r="C6" s="60" t="s">
        <v>267</v>
      </c>
    </row>
    <row r="7" spans="1:3">
      <c r="A7" s="59" t="s">
        <v>268</v>
      </c>
      <c r="B7" s="39" t="s">
        <v>346</v>
      </c>
      <c r="C7" s="60"/>
    </row>
    <row r="8" spans="1:3">
      <c r="A8" s="59" t="s">
        <v>270</v>
      </c>
      <c r="B8" s="39" t="s">
        <v>234</v>
      </c>
      <c r="C8" s="61">
        <v>4.9000000000000002E-2</v>
      </c>
    </row>
    <row r="9" spans="1:3">
      <c r="A9" s="59" t="s">
        <v>14</v>
      </c>
      <c r="B9" s="39" t="s">
        <v>337</v>
      </c>
      <c r="C9" s="61">
        <v>1.9E-2</v>
      </c>
    </row>
    <row r="10" spans="1:3">
      <c r="A10" s="59" t="s">
        <v>16</v>
      </c>
      <c r="B10" s="39" t="s">
        <v>258</v>
      </c>
      <c r="C10" s="61">
        <v>7.2999999999999995E-2</v>
      </c>
    </row>
    <row r="11" spans="1:3">
      <c r="A11" s="59" t="s">
        <v>274</v>
      </c>
      <c r="B11" s="39" t="s">
        <v>54</v>
      </c>
      <c r="C11" s="62">
        <v>0</v>
      </c>
    </row>
    <row r="12" spans="1:3">
      <c r="A12" s="59" t="s">
        <v>20</v>
      </c>
      <c r="B12" s="39" t="s">
        <v>290</v>
      </c>
      <c r="C12" s="62">
        <v>0</v>
      </c>
    </row>
    <row r="13" spans="1:3">
      <c r="A13" s="59" t="s">
        <v>22</v>
      </c>
      <c r="B13" s="39" t="s">
        <v>343</v>
      </c>
      <c r="C13" s="61">
        <v>8.2000000000000003E-2</v>
      </c>
    </row>
    <row r="14" spans="1:3">
      <c r="A14" s="59" t="s">
        <v>24</v>
      </c>
      <c r="B14" s="39" t="s">
        <v>299</v>
      </c>
      <c r="C14" s="61">
        <v>6.0000000000000001E-3</v>
      </c>
    </row>
    <row r="15" spans="1:3">
      <c r="A15" s="59" t="s">
        <v>26</v>
      </c>
      <c r="B15" s="39" t="s">
        <v>347</v>
      </c>
      <c r="C15" s="61">
        <v>2.1000000000000001E-2</v>
      </c>
    </row>
    <row r="16" spans="1:3">
      <c r="A16" s="59" t="s">
        <v>277</v>
      </c>
      <c r="B16" s="39" t="s">
        <v>106</v>
      </c>
      <c r="C16" s="61">
        <v>1E-4</v>
      </c>
    </row>
    <row r="17" spans="1:3">
      <c r="A17" s="59" t="s">
        <v>30</v>
      </c>
      <c r="B17" s="39" t="s">
        <v>54</v>
      </c>
      <c r="C17" s="62">
        <v>0</v>
      </c>
    </row>
    <row r="18" spans="1:3">
      <c r="A18" s="59" t="s">
        <v>279</v>
      </c>
      <c r="B18" s="39" t="s">
        <v>169</v>
      </c>
      <c r="C18" s="61">
        <v>7.0000000000000001E-3</v>
      </c>
    </row>
    <row r="19" spans="1:3">
      <c r="A19" s="59" t="s">
        <v>281</v>
      </c>
      <c r="B19" s="39"/>
      <c r="C19" s="60"/>
    </row>
    <row r="20" spans="1:3" ht="15.75" thickBot="1">
      <c r="A20" s="63" t="s">
        <v>282</v>
      </c>
      <c r="B20" s="64"/>
      <c r="C20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6BD1-2D0C-4663-AC5C-954BD5C591D5}">
  <dimension ref="A1:C21"/>
  <sheetViews>
    <sheetView workbookViewId="0">
      <selection sqref="A1:C21"/>
    </sheetView>
  </sheetViews>
  <sheetFormatPr defaultRowHeight="15"/>
  <cols>
    <col min="1" max="1" width="60.7109375" customWidth="1"/>
    <col min="2" max="2" width="17.140625" customWidth="1"/>
    <col min="3" max="3" width="19" customWidth="1"/>
  </cols>
  <sheetData>
    <row r="1" spans="1:3">
      <c r="A1" s="56" t="s">
        <v>348</v>
      </c>
      <c r="B1" s="57"/>
      <c r="C1" s="58"/>
    </row>
    <row r="2" spans="1:3">
      <c r="A2" s="59" t="s">
        <v>261</v>
      </c>
      <c r="B2" s="39"/>
      <c r="C2" s="60"/>
    </row>
    <row r="3" spans="1:3">
      <c r="A3" s="59" t="s">
        <v>262</v>
      </c>
      <c r="B3" s="39" t="s">
        <v>297</v>
      </c>
      <c r="C3" s="60"/>
    </row>
    <row r="4" spans="1:3">
      <c r="A4" s="59" t="s">
        <v>264</v>
      </c>
      <c r="B4" s="39" t="s">
        <v>37</v>
      </c>
      <c r="C4" s="60"/>
    </row>
    <row r="5" spans="1:3">
      <c r="A5" s="59" t="s">
        <v>265</v>
      </c>
      <c r="B5" s="39"/>
      <c r="C5" s="60" t="s">
        <v>266</v>
      </c>
    </row>
    <row r="6" spans="1:3">
      <c r="A6" s="59"/>
      <c r="B6" s="39"/>
      <c r="C6" s="60" t="s">
        <v>267</v>
      </c>
    </row>
    <row r="7" spans="1:3">
      <c r="A7" s="59" t="s">
        <v>268</v>
      </c>
      <c r="B7" s="39" t="s">
        <v>349</v>
      </c>
      <c r="C7" s="60"/>
    </row>
    <row r="8" spans="1:3">
      <c r="A8" s="59" t="s">
        <v>270</v>
      </c>
      <c r="B8" s="39" t="s">
        <v>234</v>
      </c>
      <c r="C8" s="61">
        <v>4.9000000000000002E-2</v>
      </c>
    </row>
    <row r="9" spans="1:3">
      <c r="A9" s="59" t="s">
        <v>14</v>
      </c>
      <c r="B9" s="39" t="s">
        <v>337</v>
      </c>
      <c r="C9" s="61">
        <v>1.9E-2</v>
      </c>
    </row>
    <row r="10" spans="1:3">
      <c r="A10" s="59" t="s">
        <v>16</v>
      </c>
      <c r="B10" s="39" t="s">
        <v>258</v>
      </c>
      <c r="C10" s="61">
        <v>7.2999999999999995E-2</v>
      </c>
    </row>
    <row r="11" spans="1:3">
      <c r="A11" s="59" t="s">
        <v>274</v>
      </c>
      <c r="B11" s="39" t="s">
        <v>54</v>
      </c>
      <c r="C11" s="62">
        <v>0</v>
      </c>
    </row>
    <row r="12" spans="1:3">
      <c r="A12" s="59" t="s">
        <v>20</v>
      </c>
      <c r="B12" s="39" t="s">
        <v>290</v>
      </c>
      <c r="C12" s="62">
        <v>0</v>
      </c>
    </row>
    <row r="13" spans="1:3">
      <c r="A13" s="59" t="s">
        <v>22</v>
      </c>
      <c r="B13" s="39" t="s">
        <v>343</v>
      </c>
      <c r="C13" s="61">
        <v>8.2000000000000003E-2</v>
      </c>
    </row>
    <row r="14" spans="1:3">
      <c r="A14" s="59" t="s">
        <v>24</v>
      </c>
      <c r="B14" s="39" t="s">
        <v>339</v>
      </c>
      <c r="C14" s="61">
        <v>6.4000000000000003E-3</v>
      </c>
    </row>
    <row r="15" spans="1:3">
      <c r="A15" s="59" t="s">
        <v>26</v>
      </c>
      <c r="B15" s="39" t="s">
        <v>350</v>
      </c>
      <c r="C15" s="61">
        <v>2.3E-2</v>
      </c>
    </row>
    <row r="16" spans="1:3">
      <c r="A16" s="59" t="s">
        <v>277</v>
      </c>
      <c r="B16" s="39" t="s">
        <v>106</v>
      </c>
      <c r="C16" s="61">
        <v>1E-4</v>
      </c>
    </row>
    <row r="17" spans="1:3">
      <c r="A17" s="59" t="s">
        <v>30</v>
      </c>
      <c r="B17" s="39" t="s">
        <v>54</v>
      </c>
      <c r="C17" s="62">
        <v>0</v>
      </c>
    </row>
    <row r="18" spans="1:3">
      <c r="A18" s="59" t="s">
        <v>279</v>
      </c>
      <c r="B18" s="39" t="s">
        <v>351</v>
      </c>
      <c r="C18" s="61">
        <v>7.1999999999999998E-3</v>
      </c>
    </row>
    <row r="19" spans="1:3">
      <c r="A19" s="59" t="s">
        <v>281</v>
      </c>
      <c r="B19" s="39"/>
      <c r="C19" s="60"/>
    </row>
    <row r="20" spans="1:3">
      <c r="A20" s="59" t="s">
        <v>282</v>
      </c>
      <c r="B20" s="39"/>
      <c r="C20" s="60"/>
    </row>
    <row r="21" spans="1:3" ht="15.75" thickBot="1">
      <c r="A21" s="63"/>
      <c r="B21" s="64"/>
      <c r="C21" s="6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43EE-45EF-4EA1-B923-B3B7BFF75A30}">
  <dimension ref="A1:C20"/>
  <sheetViews>
    <sheetView workbookViewId="0">
      <selection sqref="A1:C20"/>
    </sheetView>
  </sheetViews>
  <sheetFormatPr defaultRowHeight="15"/>
  <cols>
    <col min="1" max="1" width="67" customWidth="1"/>
    <col min="2" max="2" width="19.7109375" customWidth="1"/>
    <col min="3" max="3" width="15.5703125" customWidth="1"/>
  </cols>
  <sheetData>
    <row r="1" spans="1:3">
      <c r="A1" s="39" t="s">
        <v>352</v>
      </c>
      <c r="B1" s="39"/>
      <c r="C1" s="39"/>
    </row>
    <row r="2" spans="1:3">
      <c r="A2" s="39" t="s">
        <v>261</v>
      </c>
      <c r="B2" s="39"/>
      <c r="C2" s="39"/>
    </row>
    <row r="3" spans="1:3">
      <c r="A3" s="39" t="s">
        <v>262</v>
      </c>
      <c r="B3" s="39" t="s">
        <v>297</v>
      </c>
      <c r="C3" s="39"/>
    </row>
    <row r="4" spans="1:3">
      <c r="A4" s="39" t="s">
        <v>264</v>
      </c>
      <c r="B4" s="39" t="s">
        <v>37</v>
      </c>
      <c r="C4" s="39"/>
    </row>
    <row r="5" spans="1:3">
      <c r="A5" s="39" t="s">
        <v>265</v>
      </c>
      <c r="B5" s="39"/>
      <c r="C5" s="39" t="s">
        <v>266</v>
      </c>
    </row>
    <row r="6" spans="1:3">
      <c r="A6" s="39"/>
      <c r="B6" s="39"/>
      <c r="C6" s="39" t="s">
        <v>267</v>
      </c>
    </row>
    <row r="7" spans="1:3">
      <c r="A7" s="39" t="s">
        <v>268</v>
      </c>
      <c r="B7" s="39" t="s">
        <v>342</v>
      </c>
      <c r="C7" s="39"/>
    </row>
    <row r="8" spans="1:3">
      <c r="A8" s="39" t="s">
        <v>270</v>
      </c>
      <c r="B8" s="39" t="s">
        <v>234</v>
      </c>
      <c r="C8" s="42">
        <v>4.9000000000000002E-2</v>
      </c>
    </row>
    <row r="9" spans="1:3">
      <c r="A9" s="39" t="s">
        <v>14</v>
      </c>
      <c r="B9" s="39" t="s">
        <v>337</v>
      </c>
      <c r="C9" s="42">
        <v>1.9E-2</v>
      </c>
    </row>
    <row r="10" spans="1:3">
      <c r="A10" s="39" t="s">
        <v>16</v>
      </c>
      <c r="B10" s="39" t="s">
        <v>258</v>
      </c>
      <c r="C10" s="42">
        <v>7.2999999999999995E-2</v>
      </c>
    </row>
    <row r="11" spans="1:3">
      <c r="A11" s="39" t="s">
        <v>274</v>
      </c>
      <c r="B11" s="39" t="s">
        <v>54</v>
      </c>
      <c r="C11" s="41">
        <v>0</v>
      </c>
    </row>
    <row r="12" spans="1:3">
      <c r="A12" s="39" t="s">
        <v>20</v>
      </c>
      <c r="B12" s="39" t="s">
        <v>290</v>
      </c>
      <c r="C12" s="41">
        <v>0</v>
      </c>
    </row>
    <row r="13" spans="1:3">
      <c r="A13" s="39" t="s">
        <v>22</v>
      </c>
      <c r="B13" s="39" t="s">
        <v>343</v>
      </c>
      <c r="C13" s="42">
        <v>8.2000000000000003E-2</v>
      </c>
    </row>
    <row r="14" spans="1:3">
      <c r="A14" s="39" t="s">
        <v>24</v>
      </c>
      <c r="B14" s="39" t="s">
        <v>344</v>
      </c>
      <c r="C14" s="42">
        <v>5.4000000000000003E-3</v>
      </c>
    </row>
    <row r="15" spans="1:3">
      <c r="A15" s="39" t="s">
        <v>26</v>
      </c>
      <c r="B15" s="39" t="s">
        <v>340</v>
      </c>
      <c r="C15" s="41">
        <v>0.02</v>
      </c>
    </row>
    <row r="16" spans="1:3">
      <c r="A16" s="39" t="s">
        <v>277</v>
      </c>
      <c r="B16" s="39" t="s">
        <v>106</v>
      </c>
      <c r="C16" s="42">
        <v>1E-4</v>
      </c>
    </row>
    <row r="17" spans="1:3">
      <c r="A17" s="39" t="s">
        <v>30</v>
      </c>
      <c r="B17" s="39" t="s">
        <v>54</v>
      </c>
      <c r="C17" s="41">
        <v>0</v>
      </c>
    </row>
    <row r="18" spans="1:3">
      <c r="A18" s="39" t="s">
        <v>279</v>
      </c>
      <c r="B18" s="39" t="s">
        <v>169</v>
      </c>
      <c r="C18" s="42">
        <v>7.0000000000000001E-3</v>
      </c>
    </row>
    <row r="19" spans="1:3">
      <c r="A19" s="39" t="s">
        <v>281</v>
      </c>
      <c r="B19" s="39"/>
      <c r="C19" s="39"/>
    </row>
    <row r="20" spans="1:3">
      <c r="A20" s="39" t="s">
        <v>282</v>
      </c>
      <c r="B20" s="39"/>
      <c r="C20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8F6F-D804-4D55-BA78-294AA8953F52}">
  <dimension ref="A1:G18"/>
  <sheetViews>
    <sheetView topLeftCell="A37" zoomScale="80" zoomScaleNormal="80" workbookViewId="0">
      <selection activeCell="C16" sqref="C16"/>
    </sheetView>
  </sheetViews>
  <sheetFormatPr defaultRowHeight="15"/>
  <cols>
    <col min="1" max="1" width="43.7109375" bestFit="1" customWidth="1"/>
    <col min="3" max="3" width="15.85546875" customWidth="1"/>
    <col min="5" max="5" width="43.7109375" bestFit="1" customWidth="1"/>
    <col min="6" max="6" width="9.42578125" bestFit="1" customWidth="1"/>
    <col min="7" max="7" width="15.28515625" customWidth="1"/>
  </cols>
  <sheetData>
    <row r="1" spans="1:7" ht="18.75">
      <c r="A1" s="239" t="s">
        <v>50</v>
      </c>
      <c r="B1" s="241"/>
      <c r="C1" s="1"/>
      <c r="E1" s="239" t="s">
        <v>51</v>
      </c>
      <c r="F1" s="241"/>
      <c r="G1" s="1"/>
    </row>
    <row r="2" spans="1:7">
      <c r="A2" s="247" t="s">
        <v>4</v>
      </c>
      <c r="B2" s="247"/>
      <c r="C2" s="1"/>
      <c r="E2" s="247" t="s">
        <v>4</v>
      </c>
      <c r="F2" s="247"/>
      <c r="G2" s="1"/>
    </row>
    <row r="3" spans="1:7">
      <c r="A3" s="2" t="s">
        <v>5</v>
      </c>
      <c r="B3" s="2">
        <v>27</v>
      </c>
      <c r="C3" s="248"/>
      <c r="E3" s="2" t="s">
        <v>5</v>
      </c>
      <c r="F3" s="2">
        <v>13</v>
      </c>
      <c r="G3" s="248"/>
    </row>
    <row r="4" spans="1:7">
      <c r="A4" s="2" t="s">
        <v>6</v>
      </c>
      <c r="B4" s="4" t="s">
        <v>37</v>
      </c>
      <c r="C4" s="249"/>
      <c r="E4" s="2" t="s">
        <v>6</v>
      </c>
      <c r="F4" s="4" t="s">
        <v>37</v>
      </c>
      <c r="G4" s="249"/>
    </row>
    <row r="5" spans="1:7" ht="30">
      <c r="A5" s="247" t="s">
        <v>38</v>
      </c>
      <c r="B5" s="247"/>
      <c r="C5" s="5" t="s">
        <v>9</v>
      </c>
      <c r="E5" s="247" t="s">
        <v>38</v>
      </c>
      <c r="F5" s="247"/>
      <c r="G5" s="5" t="s">
        <v>9</v>
      </c>
    </row>
    <row r="6" spans="1:7">
      <c r="A6" s="5" t="s">
        <v>10</v>
      </c>
      <c r="B6" s="2" t="s">
        <v>52</v>
      </c>
      <c r="C6" s="2"/>
      <c r="E6" s="5" t="s">
        <v>10</v>
      </c>
      <c r="F6" s="2" t="s">
        <v>52</v>
      </c>
      <c r="G6" s="2"/>
    </row>
    <row r="7" spans="1:7">
      <c r="A7" s="2" t="s">
        <v>12</v>
      </c>
      <c r="B7" s="4" t="s">
        <v>53</v>
      </c>
      <c r="C7" s="7">
        <v>1.1E-4</v>
      </c>
      <c r="E7" s="2" t="s">
        <v>12</v>
      </c>
      <c r="F7" s="4" t="s">
        <v>53</v>
      </c>
      <c r="G7" s="7">
        <v>1.1E-4</v>
      </c>
    </row>
    <row r="8" spans="1:7">
      <c r="A8" s="2" t="s">
        <v>14</v>
      </c>
      <c r="B8" s="4" t="s">
        <v>54</v>
      </c>
      <c r="C8" s="8">
        <v>0</v>
      </c>
      <c r="E8" s="2" t="s">
        <v>14</v>
      </c>
      <c r="F8" s="4" t="s">
        <v>54</v>
      </c>
      <c r="G8" s="8">
        <v>0</v>
      </c>
    </row>
    <row r="9" spans="1:7">
      <c r="A9" s="2" t="s">
        <v>16</v>
      </c>
      <c r="B9" s="4" t="s">
        <v>54</v>
      </c>
      <c r="C9" s="8">
        <v>0</v>
      </c>
      <c r="E9" s="2" t="s">
        <v>16</v>
      </c>
      <c r="F9" s="4" t="s">
        <v>54</v>
      </c>
      <c r="G9" s="8">
        <v>0</v>
      </c>
    </row>
    <row r="10" spans="1:7">
      <c r="A10" s="2" t="s">
        <v>18</v>
      </c>
      <c r="B10" s="4" t="s">
        <v>54</v>
      </c>
      <c r="C10" s="8">
        <v>0</v>
      </c>
      <c r="E10" s="2" t="s">
        <v>18</v>
      </c>
      <c r="F10" s="4" t="s">
        <v>54</v>
      </c>
      <c r="G10" s="8">
        <v>0</v>
      </c>
    </row>
    <row r="11" spans="1:7">
      <c r="A11" s="2" t="s">
        <v>20</v>
      </c>
      <c r="B11" s="4" t="s">
        <v>55</v>
      </c>
      <c r="C11" s="8">
        <v>0</v>
      </c>
      <c r="E11" s="2" t="s">
        <v>20</v>
      </c>
      <c r="F11" s="4" t="s">
        <v>55</v>
      </c>
      <c r="G11" s="8">
        <v>0</v>
      </c>
    </row>
    <row r="12" spans="1:7">
      <c r="A12" s="2" t="s">
        <v>22</v>
      </c>
      <c r="B12" s="4" t="s">
        <v>56</v>
      </c>
      <c r="C12" s="8">
        <v>0.06</v>
      </c>
      <c r="E12" s="2" t="s">
        <v>22</v>
      </c>
      <c r="F12" s="4" t="s">
        <v>56</v>
      </c>
      <c r="G12" s="8">
        <v>0.06</v>
      </c>
    </row>
    <row r="13" spans="1:7">
      <c r="A13" s="2" t="s">
        <v>24</v>
      </c>
      <c r="B13" s="4" t="s">
        <v>57</v>
      </c>
      <c r="C13" s="6">
        <v>5.96E-2</v>
      </c>
      <c r="E13" s="2" t="s">
        <v>24</v>
      </c>
      <c r="F13" s="4" t="s">
        <v>57</v>
      </c>
      <c r="G13" s="6">
        <v>5.96E-2</v>
      </c>
    </row>
    <row r="14" spans="1:7">
      <c r="A14" s="2" t="s">
        <v>26</v>
      </c>
      <c r="B14" s="4" t="s">
        <v>58</v>
      </c>
      <c r="C14" s="7">
        <v>2.5999999999999998E-4</v>
      </c>
      <c r="E14" s="2" t="s">
        <v>26</v>
      </c>
      <c r="F14" s="4" t="s">
        <v>58</v>
      </c>
      <c r="G14" s="7">
        <v>2.5999999999999998E-4</v>
      </c>
    </row>
    <row r="15" spans="1:7">
      <c r="A15" s="2" t="s">
        <v>28</v>
      </c>
      <c r="B15" s="4" t="s">
        <v>59</v>
      </c>
      <c r="C15" s="9">
        <v>0.29599999999999999</v>
      </c>
      <c r="E15" s="2" t="s">
        <v>28</v>
      </c>
      <c r="F15" s="4" t="s">
        <v>59</v>
      </c>
      <c r="G15" s="9">
        <v>0.29599999999999999</v>
      </c>
    </row>
    <row r="16" spans="1:7">
      <c r="A16" s="2" t="s">
        <v>30</v>
      </c>
      <c r="B16" s="4" t="s">
        <v>60</v>
      </c>
      <c r="C16" s="9">
        <v>0.26600000000000001</v>
      </c>
      <c r="E16" s="2" t="s">
        <v>30</v>
      </c>
      <c r="F16" s="4" t="s">
        <v>60</v>
      </c>
      <c r="G16" s="9">
        <v>0.26600000000000001</v>
      </c>
    </row>
    <row r="17" spans="1:7">
      <c r="A17" s="2" t="s">
        <v>32</v>
      </c>
      <c r="B17" s="4" t="s">
        <v>61</v>
      </c>
      <c r="C17" s="7">
        <v>2.5999999999999998E-4</v>
      </c>
      <c r="E17" s="2" t="s">
        <v>32</v>
      </c>
      <c r="F17" s="4" t="s">
        <v>61</v>
      </c>
      <c r="G17" s="7">
        <v>2.5999999999999998E-4</v>
      </c>
    </row>
    <row r="18" spans="1:7" ht="43.5" customHeight="1">
      <c r="A18" s="253" t="s">
        <v>34</v>
      </c>
      <c r="B18" s="254"/>
      <c r="C18" s="255"/>
      <c r="E18" s="253" t="s">
        <v>34</v>
      </c>
      <c r="F18" s="254"/>
      <c r="G18" s="255"/>
    </row>
  </sheetData>
  <mergeCells count="10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17DF-E9D5-49C2-97FF-560CEB2300C8}">
  <dimension ref="A1:G18"/>
  <sheetViews>
    <sheetView topLeftCell="E5" zoomScaleNormal="100" workbookViewId="0">
      <selection activeCell="B10" sqref="B10"/>
    </sheetView>
  </sheetViews>
  <sheetFormatPr defaultRowHeight="15"/>
  <cols>
    <col min="1" max="1" width="43.140625" bestFit="1" customWidth="1"/>
    <col min="2" max="2" width="11.42578125" customWidth="1"/>
    <col min="3" max="3" width="18.85546875" customWidth="1"/>
    <col min="5" max="5" width="43.140625" bestFit="1" customWidth="1"/>
    <col min="6" max="6" width="12.85546875" customWidth="1"/>
    <col min="7" max="7" width="13.85546875" customWidth="1"/>
    <col min="9" max="9" width="10.140625" customWidth="1"/>
  </cols>
  <sheetData>
    <row r="1" spans="1:7" ht="18.75">
      <c r="A1" s="239" t="s">
        <v>62</v>
      </c>
      <c r="B1" s="241"/>
      <c r="C1" s="1"/>
      <c r="E1" s="239" t="s">
        <v>63</v>
      </c>
      <c r="F1" s="241"/>
      <c r="G1" s="1"/>
    </row>
    <row r="2" spans="1:7">
      <c r="A2" s="247" t="s">
        <v>4</v>
      </c>
      <c r="B2" s="247"/>
      <c r="C2" s="1"/>
      <c r="E2" s="247" t="s">
        <v>4</v>
      </c>
      <c r="F2" s="247"/>
      <c r="G2" s="1"/>
    </row>
    <row r="3" spans="1:7">
      <c r="A3" s="2" t="s">
        <v>5</v>
      </c>
      <c r="B3" s="2">
        <v>21</v>
      </c>
      <c r="C3" s="248"/>
      <c r="E3" s="2" t="s">
        <v>5</v>
      </c>
      <c r="F3" s="2">
        <v>11</v>
      </c>
      <c r="G3" s="248"/>
    </row>
    <row r="4" spans="1:7">
      <c r="A4" s="2" t="s">
        <v>6</v>
      </c>
      <c r="B4" s="4" t="s">
        <v>37</v>
      </c>
      <c r="C4" s="249"/>
      <c r="E4" s="2" t="s">
        <v>6</v>
      </c>
      <c r="F4" s="4" t="s">
        <v>37</v>
      </c>
      <c r="G4" s="249"/>
    </row>
    <row r="5" spans="1:7" ht="45">
      <c r="A5" s="247" t="s">
        <v>38</v>
      </c>
      <c r="B5" s="247"/>
      <c r="C5" s="5" t="s">
        <v>9</v>
      </c>
      <c r="E5" s="247" t="s">
        <v>38</v>
      </c>
      <c r="F5" s="247"/>
      <c r="G5" s="5" t="s">
        <v>9</v>
      </c>
    </row>
    <row r="6" spans="1:7">
      <c r="A6" s="5" t="s">
        <v>10</v>
      </c>
      <c r="B6" s="2" t="s">
        <v>64</v>
      </c>
      <c r="C6" s="2"/>
      <c r="E6" s="5" t="s">
        <v>10</v>
      </c>
      <c r="F6" s="2" t="s">
        <v>64</v>
      </c>
      <c r="G6" s="2"/>
    </row>
    <row r="7" spans="1:7">
      <c r="A7" s="2" t="s">
        <v>12</v>
      </c>
      <c r="B7" s="4" t="s">
        <v>65</v>
      </c>
      <c r="C7" s="6">
        <v>1.6000000000000001E-3</v>
      </c>
      <c r="E7" s="2" t="s">
        <v>12</v>
      </c>
      <c r="F7" s="4" t="s">
        <v>65</v>
      </c>
      <c r="G7" s="6">
        <v>1.6000000000000001E-3</v>
      </c>
    </row>
    <row r="8" spans="1:7">
      <c r="A8" s="2" t="s">
        <v>14</v>
      </c>
      <c r="B8" s="4" t="s">
        <v>66</v>
      </c>
      <c r="C8" s="6">
        <v>1E-3</v>
      </c>
      <c r="E8" s="2" t="s">
        <v>14</v>
      </c>
      <c r="F8" s="4" t="s">
        <v>66</v>
      </c>
      <c r="G8" s="6">
        <v>1.6000000000000001E-3</v>
      </c>
    </row>
    <row r="9" spans="1:7">
      <c r="A9" s="2" t="s">
        <v>16</v>
      </c>
      <c r="B9" s="4" t="s">
        <v>67</v>
      </c>
      <c r="C9" s="6">
        <v>2.2000000000000001E-3</v>
      </c>
      <c r="E9" s="2" t="s">
        <v>16</v>
      </c>
      <c r="F9" s="4" t="s">
        <v>67</v>
      </c>
      <c r="G9" s="6">
        <v>4.4000000000000003E-3</v>
      </c>
    </row>
    <row r="10" spans="1:7">
      <c r="A10" s="2" t="s">
        <v>18</v>
      </c>
      <c r="B10" s="4" t="s">
        <v>19</v>
      </c>
      <c r="C10" s="8">
        <v>0</v>
      </c>
      <c r="E10" s="2" t="s">
        <v>18</v>
      </c>
      <c r="F10" s="4" t="s">
        <v>19</v>
      </c>
      <c r="G10" s="8">
        <v>0</v>
      </c>
    </row>
    <row r="11" spans="1:7">
      <c r="A11" s="2" t="s">
        <v>20</v>
      </c>
      <c r="B11" s="4" t="s">
        <v>68</v>
      </c>
      <c r="C11" s="6">
        <v>4.5999999999999999E-3</v>
      </c>
      <c r="E11" s="2" t="s">
        <v>20</v>
      </c>
      <c r="F11" s="4" t="s">
        <v>68</v>
      </c>
      <c r="G11" s="6">
        <v>4.5999999999999999E-3</v>
      </c>
    </row>
    <row r="12" spans="1:7">
      <c r="A12" s="2" t="s">
        <v>22</v>
      </c>
      <c r="B12" s="4" t="s">
        <v>69</v>
      </c>
      <c r="C12" s="9">
        <v>9.5600000000000004E-2</v>
      </c>
      <c r="E12" s="2" t="s">
        <v>22</v>
      </c>
      <c r="F12" s="4" t="s">
        <v>69</v>
      </c>
      <c r="G12" s="9">
        <v>9.5600000000000004E-2</v>
      </c>
    </row>
    <row r="13" spans="1:7">
      <c r="A13" s="2" t="s">
        <v>24</v>
      </c>
      <c r="B13" s="4" t="s">
        <v>70</v>
      </c>
      <c r="C13" s="6">
        <v>2.1399999999999999E-2</v>
      </c>
      <c r="E13" s="2" t="s">
        <v>24</v>
      </c>
      <c r="F13" s="4" t="s">
        <v>70</v>
      </c>
      <c r="G13" s="6">
        <v>2.1399999999999999E-2</v>
      </c>
    </row>
    <row r="14" spans="1:7">
      <c r="A14" s="2" t="s">
        <v>26</v>
      </c>
      <c r="B14" s="4" t="s">
        <v>71</v>
      </c>
      <c r="C14" s="6">
        <v>4.1999999999999997E-3</v>
      </c>
      <c r="E14" s="2" t="s">
        <v>26</v>
      </c>
      <c r="F14" s="4" t="s">
        <v>71</v>
      </c>
      <c r="G14" s="6">
        <v>4.1999999999999997E-3</v>
      </c>
    </row>
    <row r="15" spans="1:7">
      <c r="A15" s="2" t="s">
        <v>28</v>
      </c>
      <c r="B15" s="4" t="s">
        <v>72</v>
      </c>
      <c r="C15" s="8">
        <v>0.09</v>
      </c>
      <c r="E15" s="2" t="s">
        <v>28</v>
      </c>
      <c r="F15" s="4" t="s">
        <v>72</v>
      </c>
      <c r="G15" s="8">
        <v>0.09</v>
      </c>
    </row>
    <row r="16" spans="1:7">
      <c r="A16" s="2" t="s">
        <v>30</v>
      </c>
      <c r="B16" s="4" t="s">
        <v>73</v>
      </c>
      <c r="C16" s="9">
        <v>8.5000000000000006E-2</v>
      </c>
      <c r="E16" s="2" t="s">
        <v>30</v>
      </c>
      <c r="F16" s="4" t="s">
        <v>73</v>
      </c>
      <c r="G16" s="9">
        <v>8.5000000000000006E-2</v>
      </c>
    </row>
    <row r="17" spans="1:7">
      <c r="A17" s="2" t="s">
        <v>32</v>
      </c>
      <c r="B17" s="4" t="s">
        <v>74</v>
      </c>
      <c r="C17" s="6">
        <v>8.0000000000000004E-4</v>
      </c>
      <c r="E17" s="2" t="s">
        <v>32</v>
      </c>
      <c r="F17" s="4" t="s">
        <v>74</v>
      </c>
      <c r="G17" s="6">
        <v>8.0000000000000004E-4</v>
      </c>
    </row>
    <row r="18" spans="1:7" ht="42.6" customHeight="1">
      <c r="A18" s="253" t="s">
        <v>34</v>
      </c>
      <c r="B18" s="254"/>
      <c r="C18" s="255"/>
      <c r="E18" s="253" t="s">
        <v>34</v>
      </c>
      <c r="F18" s="254"/>
      <c r="G18" s="255"/>
    </row>
  </sheetData>
  <mergeCells count="10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178C-24F3-4E79-B77A-3764F759A4AD}">
  <dimension ref="A1:G18"/>
  <sheetViews>
    <sheetView zoomScale="70" zoomScaleNormal="70" workbookViewId="0">
      <selection activeCell="E17" sqref="E17"/>
    </sheetView>
  </sheetViews>
  <sheetFormatPr defaultRowHeight="15"/>
  <cols>
    <col min="1" max="1" width="53.42578125" customWidth="1"/>
    <col min="2" max="2" width="11.42578125" customWidth="1"/>
    <col min="3" max="3" width="17.85546875" customWidth="1"/>
    <col min="4" max="4" width="3.42578125" customWidth="1"/>
    <col min="5" max="5" width="58.7109375" customWidth="1"/>
    <col min="6" max="6" width="14.140625" customWidth="1"/>
    <col min="7" max="7" width="18.28515625" customWidth="1"/>
    <col min="9" max="9" width="11" customWidth="1"/>
    <col min="10" max="10" width="7.7109375" bestFit="1" customWidth="1"/>
  </cols>
  <sheetData>
    <row r="1" spans="1:7" ht="18.75">
      <c r="A1" s="292" t="s">
        <v>75</v>
      </c>
      <c r="B1" s="293"/>
      <c r="C1" s="74"/>
      <c r="D1" s="75"/>
      <c r="E1" s="292" t="s">
        <v>76</v>
      </c>
      <c r="F1" s="293"/>
      <c r="G1" s="76"/>
    </row>
    <row r="2" spans="1:7" ht="18.75">
      <c r="A2" s="284" t="s">
        <v>4</v>
      </c>
      <c r="B2" s="285"/>
      <c r="C2" s="79"/>
      <c r="D2" s="80"/>
      <c r="E2" s="284" t="s">
        <v>4</v>
      </c>
      <c r="F2" s="285"/>
      <c r="G2" s="81"/>
    </row>
    <row r="3" spans="1:7" ht="18.75">
      <c r="A3" s="77" t="s">
        <v>5</v>
      </c>
      <c r="B3" s="78">
        <v>19</v>
      </c>
      <c r="C3" s="294"/>
      <c r="D3" s="80"/>
      <c r="E3" s="77" t="s">
        <v>5</v>
      </c>
      <c r="F3" s="78">
        <v>10</v>
      </c>
      <c r="G3" s="296"/>
    </row>
    <row r="4" spans="1:7" ht="18.75">
      <c r="A4" s="77" t="s">
        <v>6</v>
      </c>
      <c r="B4" s="78" t="s">
        <v>37</v>
      </c>
      <c r="C4" s="295"/>
      <c r="D4" s="80"/>
      <c r="E4" s="77" t="s">
        <v>6</v>
      </c>
      <c r="F4" s="78" t="s">
        <v>37</v>
      </c>
      <c r="G4" s="297"/>
    </row>
    <row r="5" spans="1:7" ht="37.5">
      <c r="A5" s="284" t="s">
        <v>333</v>
      </c>
      <c r="B5" s="285"/>
      <c r="C5" s="82" t="s">
        <v>9</v>
      </c>
      <c r="D5" s="80"/>
      <c r="E5" s="284" t="s">
        <v>333</v>
      </c>
      <c r="F5" s="285"/>
      <c r="G5" s="83" t="s">
        <v>9</v>
      </c>
    </row>
    <row r="6" spans="1:7" ht="18.75">
      <c r="A6" s="84" t="s">
        <v>10</v>
      </c>
      <c r="B6" s="78" t="s">
        <v>77</v>
      </c>
      <c r="C6" s="78"/>
      <c r="D6" s="80"/>
      <c r="E6" s="84" t="s">
        <v>10</v>
      </c>
      <c r="F6" s="78" t="s">
        <v>77</v>
      </c>
      <c r="G6" s="85"/>
    </row>
    <row r="7" spans="1:7" ht="18.75">
      <c r="A7" s="77" t="s">
        <v>12</v>
      </c>
      <c r="B7" s="78" t="s">
        <v>78</v>
      </c>
      <c r="C7" s="86">
        <v>0.27</v>
      </c>
      <c r="D7" s="80"/>
      <c r="E7" s="77" t="s">
        <v>12</v>
      </c>
      <c r="F7" s="78" t="s">
        <v>78</v>
      </c>
      <c r="G7" s="87">
        <v>0.27</v>
      </c>
    </row>
    <row r="8" spans="1:7" ht="18.75">
      <c r="A8" s="77" t="s">
        <v>14</v>
      </c>
      <c r="B8" s="78" t="s">
        <v>79</v>
      </c>
      <c r="C8" s="86">
        <v>0.125</v>
      </c>
      <c r="D8" s="80"/>
      <c r="E8" s="77" t="s">
        <v>14</v>
      </c>
      <c r="F8" s="78" t="s">
        <v>79</v>
      </c>
      <c r="G8" s="87">
        <v>0.125</v>
      </c>
    </row>
    <row r="9" spans="1:7" ht="18.75">
      <c r="A9" s="77" t="s">
        <v>16</v>
      </c>
      <c r="B9" s="78" t="s">
        <v>80</v>
      </c>
      <c r="C9" s="86">
        <v>0.4</v>
      </c>
      <c r="D9" s="80"/>
      <c r="E9" s="77" t="s">
        <v>16</v>
      </c>
      <c r="F9" s="78" t="s">
        <v>80</v>
      </c>
      <c r="G9" s="87">
        <v>0.4</v>
      </c>
    </row>
    <row r="10" spans="1:7" ht="18.75">
      <c r="A10" s="77" t="s">
        <v>18</v>
      </c>
      <c r="B10" s="78" t="s">
        <v>19</v>
      </c>
      <c r="C10" s="86">
        <v>0</v>
      </c>
      <c r="D10" s="80"/>
      <c r="E10" s="77" t="s">
        <v>18</v>
      </c>
      <c r="F10" s="78" t="s">
        <v>19</v>
      </c>
      <c r="G10" s="87">
        <v>0</v>
      </c>
    </row>
    <row r="11" spans="1:7" ht="18.75">
      <c r="A11" s="77" t="s">
        <v>20</v>
      </c>
      <c r="B11" s="78" t="s">
        <v>81</v>
      </c>
      <c r="C11" s="86">
        <v>0.11700000000000001</v>
      </c>
      <c r="D11" s="80"/>
      <c r="E11" s="77" t="s">
        <v>20</v>
      </c>
      <c r="F11" s="78" t="s">
        <v>81</v>
      </c>
      <c r="G11" s="87">
        <v>0.11700000000000001</v>
      </c>
    </row>
    <row r="12" spans="1:7" ht="18.75">
      <c r="A12" s="77" t="s">
        <v>22</v>
      </c>
      <c r="B12" s="78" t="s">
        <v>56</v>
      </c>
      <c r="C12" s="86">
        <v>0.06</v>
      </c>
      <c r="D12" s="80"/>
      <c r="E12" s="77" t="s">
        <v>22</v>
      </c>
      <c r="F12" s="78" t="s">
        <v>56</v>
      </c>
      <c r="G12" s="87">
        <v>0.06</v>
      </c>
    </row>
    <row r="13" spans="1:7" ht="18.75">
      <c r="A13" s="77" t="s">
        <v>24</v>
      </c>
      <c r="B13" s="78" t="s">
        <v>82</v>
      </c>
      <c r="C13" s="88">
        <v>2.2000000000000001E-3</v>
      </c>
      <c r="D13" s="80"/>
      <c r="E13" s="77" t="s">
        <v>24</v>
      </c>
      <c r="F13" s="78" t="s">
        <v>82</v>
      </c>
      <c r="G13" s="89">
        <v>2.2000000000000001E-3</v>
      </c>
    </row>
    <row r="14" spans="1:7" ht="18.75">
      <c r="A14" s="77" t="s">
        <v>26</v>
      </c>
      <c r="B14" s="78" t="s">
        <v>83</v>
      </c>
      <c r="C14" s="88">
        <v>1.2999999999999999E-3</v>
      </c>
      <c r="D14" s="80"/>
      <c r="E14" s="77" t="s">
        <v>26</v>
      </c>
      <c r="F14" s="78" t="s">
        <v>83</v>
      </c>
      <c r="G14" s="89">
        <v>1.2999999999999999E-3</v>
      </c>
    </row>
    <row r="15" spans="1:7" ht="18.75">
      <c r="A15" s="77" t="s">
        <v>28</v>
      </c>
      <c r="B15" s="78" t="s">
        <v>84</v>
      </c>
      <c r="C15" s="88">
        <v>6.7999999999999996E-3</v>
      </c>
      <c r="D15" s="80"/>
      <c r="E15" s="77" t="s">
        <v>28</v>
      </c>
      <c r="F15" s="78" t="s">
        <v>84</v>
      </c>
      <c r="G15" s="89">
        <v>6.7999999999999996E-3</v>
      </c>
    </row>
    <row r="16" spans="1:7" ht="19.5" thickBot="1">
      <c r="A16" s="77" t="s">
        <v>30</v>
      </c>
      <c r="B16" s="78" t="s">
        <v>85</v>
      </c>
      <c r="C16" s="90">
        <v>6.0000000000000001E-3</v>
      </c>
      <c r="D16" s="80"/>
      <c r="E16" s="91" t="s">
        <v>30</v>
      </c>
      <c r="F16" s="92" t="s">
        <v>85</v>
      </c>
      <c r="G16" s="94">
        <v>6.0000000000000001E-3</v>
      </c>
    </row>
    <row r="17" spans="1:7" ht="19.5" thickBot="1">
      <c r="A17" s="91" t="s">
        <v>32</v>
      </c>
      <c r="B17" s="92" t="s">
        <v>85</v>
      </c>
      <c r="C17" s="93">
        <v>2.3999999999999998E-3</v>
      </c>
      <c r="D17" s="80"/>
      <c r="E17" s="95" t="s">
        <v>32</v>
      </c>
      <c r="F17" s="96" t="s">
        <v>85</v>
      </c>
      <c r="G17" s="97">
        <v>2.3999999999999998E-3</v>
      </c>
    </row>
    <row r="18" spans="1:7" ht="42" customHeight="1" thickBot="1">
      <c r="A18" s="286" t="s">
        <v>34</v>
      </c>
      <c r="B18" s="287"/>
      <c r="C18" s="288"/>
      <c r="D18" s="80"/>
      <c r="E18" s="289" t="s">
        <v>34</v>
      </c>
      <c r="F18" s="290"/>
      <c r="G18" s="291"/>
    </row>
  </sheetData>
  <mergeCells count="10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0976-FDCA-4B49-B428-3C0C15800F4C}">
  <dimension ref="A1:G18"/>
  <sheetViews>
    <sheetView zoomScale="80" zoomScaleNormal="80" workbookViewId="0">
      <selection activeCell="C7" sqref="C7:C17"/>
    </sheetView>
  </sheetViews>
  <sheetFormatPr defaultRowHeight="15"/>
  <cols>
    <col min="1" max="1" width="43.140625" bestFit="1" customWidth="1"/>
    <col min="2" max="2" width="11.140625" customWidth="1"/>
    <col min="3" max="3" width="13.140625" customWidth="1"/>
    <col min="5" max="5" width="43.140625" bestFit="1" customWidth="1"/>
    <col min="6" max="6" width="10.28515625" customWidth="1"/>
    <col min="7" max="7" width="14.140625" customWidth="1"/>
    <col min="9" max="9" width="32.7109375" bestFit="1" customWidth="1"/>
  </cols>
  <sheetData>
    <row r="1" spans="1:7" ht="18.75">
      <c r="A1" s="239" t="s">
        <v>86</v>
      </c>
      <c r="B1" s="241"/>
      <c r="C1" s="1"/>
      <c r="E1" s="239" t="s">
        <v>87</v>
      </c>
      <c r="F1" s="241"/>
      <c r="G1" s="1"/>
    </row>
    <row r="2" spans="1:7">
      <c r="A2" s="247" t="s">
        <v>4</v>
      </c>
      <c r="B2" s="247"/>
      <c r="C2" s="1"/>
      <c r="E2" s="247" t="s">
        <v>4</v>
      </c>
      <c r="F2" s="247"/>
      <c r="G2" s="1"/>
    </row>
    <row r="3" spans="1:7">
      <c r="A3" s="2" t="s">
        <v>5</v>
      </c>
      <c r="B3" s="2">
        <v>19</v>
      </c>
      <c r="C3" s="248"/>
      <c r="E3" s="2" t="s">
        <v>5</v>
      </c>
      <c r="F3" s="2">
        <v>10</v>
      </c>
      <c r="G3" s="248"/>
    </row>
    <row r="4" spans="1:7">
      <c r="A4" s="2" t="s">
        <v>6</v>
      </c>
      <c r="B4" s="4" t="s">
        <v>37</v>
      </c>
      <c r="C4" s="249"/>
      <c r="E4" s="2" t="s">
        <v>6</v>
      </c>
      <c r="F4" s="4" t="s">
        <v>37</v>
      </c>
      <c r="G4" s="249"/>
    </row>
    <row r="5" spans="1:7" ht="45">
      <c r="A5" s="247" t="s">
        <v>38</v>
      </c>
      <c r="B5" s="247"/>
      <c r="C5" s="5" t="s">
        <v>9</v>
      </c>
      <c r="E5" s="247" t="s">
        <v>38</v>
      </c>
      <c r="F5" s="247"/>
      <c r="G5" s="5" t="s">
        <v>9</v>
      </c>
    </row>
    <row r="6" spans="1:7">
      <c r="A6" s="5" t="s">
        <v>10</v>
      </c>
      <c r="B6" s="2" t="s">
        <v>88</v>
      </c>
      <c r="C6" s="2"/>
      <c r="E6" s="5" t="s">
        <v>10</v>
      </c>
      <c r="F6" s="2" t="s">
        <v>88</v>
      </c>
      <c r="G6" s="2"/>
    </row>
    <row r="7" spans="1:7">
      <c r="A7" s="2" t="s">
        <v>12</v>
      </c>
      <c r="B7" s="4" t="s">
        <v>89</v>
      </c>
      <c r="C7" s="6">
        <v>9.2999999999999999E-2</v>
      </c>
      <c r="E7" s="2" t="s">
        <v>12</v>
      </c>
      <c r="F7" s="4" t="s">
        <v>89</v>
      </c>
      <c r="G7" s="8">
        <v>9.2999999999999999E-2</v>
      </c>
    </row>
    <row r="8" spans="1:7">
      <c r="A8" s="2" t="s">
        <v>14</v>
      </c>
      <c r="B8" s="4" t="s">
        <v>90</v>
      </c>
      <c r="C8" s="6">
        <v>4.3999999999999997E-2</v>
      </c>
      <c r="E8" s="2" t="s">
        <v>14</v>
      </c>
      <c r="F8" s="4" t="s">
        <v>90</v>
      </c>
      <c r="G8" s="8">
        <v>4.3999999999999997E-2</v>
      </c>
    </row>
    <row r="9" spans="1:7">
      <c r="A9" s="2" t="s">
        <v>16</v>
      </c>
      <c r="B9" s="4" t="s">
        <v>91</v>
      </c>
      <c r="C9" s="6">
        <v>0.13900000000000001</v>
      </c>
      <c r="E9" s="2" t="s">
        <v>16</v>
      </c>
      <c r="F9" s="4" t="s">
        <v>91</v>
      </c>
      <c r="G9" s="8">
        <v>0.13900000000000001</v>
      </c>
    </row>
    <row r="10" spans="1:7">
      <c r="A10" s="2" t="s">
        <v>18</v>
      </c>
      <c r="B10" s="4" t="s">
        <v>19</v>
      </c>
      <c r="C10" s="6">
        <v>0</v>
      </c>
      <c r="E10" s="2" t="s">
        <v>18</v>
      </c>
      <c r="F10" s="4" t="s">
        <v>19</v>
      </c>
      <c r="G10" s="8">
        <v>0</v>
      </c>
    </row>
    <row r="11" spans="1:7">
      <c r="A11" s="2" t="s">
        <v>20</v>
      </c>
      <c r="B11" s="4" t="s">
        <v>92</v>
      </c>
      <c r="C11" s="6">
        <v>2.3E-2</v>
      </c>
      <c r="E11" s="2" t="s">
        <v>20</v>
      </c>
      <c r="F11" s="4" t="s">
        <v>92</v>
      </c>
      <c r="G11" s="8">
        <v>2.3E-2</v>
      </c>
    </row>
    <row r="12" spans="1:7">
      <c r="A12" s="2" t="s">
        <v>22</v>
      </c>
      <c r="B12" s="4" t="s">
        <v>44</v>
      </c>
      <c r="C12" s="6">
        <v>0.08</v>
      </c>
      <c r="E12" s="2" t="s">
        <v>22</v>
      </c>
      <c r="F12" s="4" t="s">
        <v>44</v>
      </c>
      <c r="G12" s="8">
        <v>0.08</v>
      </c>
    </row>
    <row r="13" spans="1:7">
      <c r="A13" s="2" t="s">
        <v>24</v>
      </c>
      <c r="B13" s="4" t="s">
        <v>93</v>
      </c>
      <c r="C13" s="6">
        <v>7.4000000000000003E-3</v>
      </c>
      <c r="E13" s="2" t="s">
        <v>24</v>
      </c>
      <c r="F13" s="4" t="s">
        <v>93</v>
      </c>
      <c r="G13" s="6">
        <v>7.4000000000000003E-3</v>
      </c>
    </row>
    <row r="14" spans="1:7">
      <c r="A14" s="2" t="s">
        <v>26</v>
      </c>
      <c r="B14" s="4" t="s">
        <v>94</v>
      </c>
      <c r="C14" s="6">
        <v>2.8999999999999998E-3</v>
      </c>
      <c r="E14" s="2" t="s">
        <v>26</v>
      </c>
      <c r="F14" s="4" t="s">
        <v>94</v>
      </c>
      <c r="G14" s="6">
        <v>2.8999999999999998E-3</v>
      </c>
    </row>
    <row r="15" spans="1:7">
      <c r="A15" s="2" t="s">
        <v>28</v>
      </c>
      <c r="B15" s="4" t="s">
        <v>95</v>
      </c>
      <c r="C15" s="6">
        <v>4.1999999999999997E-3</v>
      </c>
      <c r="E15" s="2" t="s">
        <v>28</v>
      </c>
      <c r="F15" s="4" t="s">
        <v>95</v>
      </c>
      <c r="G15" s="6">
        <v>4.1999999999999997E-3</v>
      </c>
    </row>
    <row r="16" spans="1:7">
      <c r="A16" s="2" t="s">
        <v>30</v>
      </c>
      <c r="B16" s="4" t="s">
        <v>95</v>
      </c>
      <c r="C16" s="6">
        <v>4.1999999999999997E-3</v>
      </c>
      <c r="E16" s="2" t="s">
        <v>30</v>
      </c>
      <c r="F16" s="4" t="s">
        <v>95</v>
      </c>
      <c r="G16" s="6">
        <v>4.1999999999999997E-3</v>
      </c>
    </row>
    <row r="17" spans="1:7">
      <c r="A17" s="2" t="s">
        <v>32</v>
      </c>
      <c r="B17" s="4" t="s">
        <v>96</v>
      </c>
      <c r="C17" s="6">
        <v>8.9999999999999998E-4</v>
      </c>
      <c r="E17" s="2" t="s">
        <v>32</v>
      </c>
      <c r="F17" s="4" t="s">
        <v>96</v>
      </c>
      <c r="G17" s="6">
        <v>8.9999999999999998E-4</v>
      </c>
    </row>
    <row r="18" spans="1:7">
      <c r="A18" s="253" t="s">
        <v>34</v>
      </c>
      <c r="B18" s="254"/>
      <c r="C18" s="255"/>
      <c r="E18" s="253" t="s">
        <v>34</v>
      </c>
      <c r="F18" s="254"/>
      <c r="G18" s="255"/>
    </row>
  </sheetData>
  <mergeCells count="10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18CA-9172-412D-9106-6CB64C2C3034}">
  <dimension ref="A1:J88"/>
  <sheetViews>
    <sheetView topLeftCell="A65" zoomScaleNormal="100" workbookViewId="0">
      <selection activeCell="A69" sqref="A69:D88"/>
    </sheetView>
  </sheetViews>
  <sheetFormatPr defaultRowHeight="15"/>
  <cols>
    <col min="1" max="1" width="58" customWidth="1"/>
    <col min="2" max="2" width="13" customWidth="1"/>
    <col min="3" max="3" width="5.85546875" customWidth="1"/>
    <col min="4" max="4" width="16" customWidth="1"/>
    <col min="5" max="5" width="48.42578125" customWidth="1"/>
    <col min="6" max="6" width="20.28515625" customWidth="1"/>
  </cols>
  <sheetData>
    <row r="1" spans="1:6">
      <c r="A1" s="56" t="s">
        <v>374</v>
      </c>
      <c r="B1" s="57"/>
      <c r="C1" s="58"/>
    </row>
    <row r="2" spans="1:6">
      <c r="A2" s="59" t="s">
        <v>261</v>
      </c>
      <c r="B2" s="39"/>
      <c r="C2" s="60"/>
    </row>
    <row r="3" spans="1:6">
      <c r="A3" s="59" t="s">
        <v>262</v>
      </c>
      <c r="B3" s="39">
        <v>9</v>
      </c>
      <c r="C3" s="60"/>
      <c r="D3" s="39">
        <v>9</v>
      </c>
    </row>
    <row r="4" spans="1:6">
      <c r="A4" s="59" t="s">
        <v>264</v>
      </c>
      <c r="B4" s="39" t="s">
        <v>7</v>
      </c>
      <c r="C4" s="60"/>
      <c r="D4" s="39" t="s">
        <v>7</v>
      </c>
    </row>
    <row r="5" spans="1:6">
      <c r="A5" s="59" t="s">
        <v>353</v>
      </c>
      <c r="B5" s="39"/>
      <c r="C5" s="60" t="s">
        <v>266</v>
      </c>
      <c r="D5" s="39"/>
    </row>
    <row r="6" spans="1:6">
      <c r="A6" s="59"/>
      <c r="B6" s="39"/>
      <c r="C6" s="60" t="s">
        <v>267</v>
      </c>
      <c r="D6" s="39"/>
    </row>
    <row r="7" spans="1:6" ht="24" customHeight="1">
      <c r="A7" s="59" t="s">
        <v>268</v>
      </c>
      <c r="B7" s="39" t="s">
        <v>354</v>
      </c>
      <c r="C7" s="60"/>
      <c r="D7" s="39">
        <v>0.86</v>
      </c>
      <c r="E7">
        <f>SUM(D7/9)</f>
        <v>9.555555555555556E-2</v>
      </c>
      <c r="F7">
        <f>SUM(E7*20)</f>
        <v>1.9111111111111112</v>
      </c>
    </row>
    <row r="8" spans="1:6">
      <c r="A8" s="59" t="s">
        <v>270</v>
      </c>
      <c r="B8" s="39" t="s">
        <v>355</v>
      </c>
      <c r="C8" s="147">
        <v>3.4000000000000002E-4</v>
      </c>
      <c r="D8" s="39">
        <v>1.9E-2</v>
      </c>
      <c r="E8">
        <f t="shared" ref="E8:E18" si="0">SUM(D8/9)</f>
        <v>2.1111111111111109E-3</v>
      </c>
      <c r="F8">
        <f t="shared" ref="F8:F18" si="1">SUM(E8*20)</f>
        <v>4.2222222222222217E-2</v>
      </c>
    </row>
    <row r="9" spans="1:6">
      <c r="A9" s="59" t="s">
        <v>14</v>
      </c>
      <c r="B9" s="39" t="s">
        <v>54</v>
      </c>
      <c r="C9" s="147">
        <v>0</v>
      </c>
      <c r="D9" s="39">
        <v>0</v>
      </c>
      <c r="E9">
        <f t="shared" si="0"/>
        <v>0</v>
      </c>
      <c r="F9">
        <f t="shared" si="1"/>
        <v>0</v>
      </c>
    </row>
    <row r="10" spans="1:6">
      <c r="A10" s="59" t="s">
        <v>16</v>
      </c>
      <c r="B10" s="39" t="s">
        <v>54</v>
      </c>
      <c r="C10" s="147">
        <v>0</v>
      </c>
      <c r="D10" s="39">
        <v>0</v>
      </c>
      <c r="E10">
        <f t="shared" si="0"/>
        <v>0</v>
      </c>
      <c r="F10">
        <f t="shared" si="1"/>
        <v>0</v>
      </c>
    </row>
    <row r="11" spans="1:6">
      <c r="A11" s="59" t="s">
        <v>274</v>
      </c>
      <c r="B11" s="39" t="s">
        <v>54</v>
      </c>
      <c r="C11" s="147">
        <v>0</v>
      </c>
      <c r="D11" s="39">
        <v>0</v>
      </c>
      <c r="E11">
        <f t="shared" si="0"/>
        <v>0</v>
      </c>
      <c r="F11">
        <f t="shared" si="1"/>
        <v>0</v>
      </c>
    </row>
    <row r="12" spans="1:6">
      <c r="A12" s="59" t="s">
        <v>20</v>
      </c>
      <c r="B12" s="39" t="s">
        <v>290</v>
      </c>
      <c r="C12" s="147">
        <v>0</v>
      </c>
      <c r="D12" s="39">
        <v>0</v>
      </c>
      <c r="E12">
        <f t="shared" si="0"/>
        <v>0</v>
      </c>
      <c r="F12">
        <f t="shared" si="1"/>
        <v>0</v>
      </c>
    </row>
    <row r="13" spans="1:6">
      <c r="A13" s="59" t="s">
        <v>22</v>
      </c>
      <c r="B13" s="39" t="s">
        <v>356</v>
      </c>
      <c r="C13" s="147">
        <v>0.71</v>
      </c>
      <c r="D13" s="39">
        <v>1418</v>
      </c>
      <c r="E13">
        <f t="shared" si="0"/>
        <v>157.55555555555554</v>
      </c>
      <c r="F13" s="217">
        <f t="shared" si="1"/>
        <v>3151.1111111111109</v>
      </c>
    </row>
    <row r="14" spans="1:6">
      <c r="A14" s="59" t="s">
        <v>24</v>
      </c>
      <c r="B14" s="39" t="s">
        <v>210</v>
      </c>
      <c r="C14" s="147">
        <v>5.5999999999999995E-4</v>
      </c>
      <c r="D14" s="39">
        <v>0.14000000000000001</v>
      </c>
      <c r="E14">
        <f t="shared" si="0"/>
        <v>1.5555555555555557E-2</v>
      </c>
      <c r="F14" s="216">
        <f t="shared" si="1"/>
        <v>0.31111111111111112</v>
      </c>
    </row>
    <row r="15" spans="1:6">
      <c r="A15" s="59" t="s">
        <v>26</v>
      </c>
      <c r="B15" s="39" t="s">
        <v>233</v>
      </c>
      <c r="C15" s="147">
        <v>1.8E-3</v>
      </c>
      <c r="D15" s="39">
        <v>7.0000000000000007E-2</v>
      </c>
      <c r="E15">
        <f t="shared" si="0"/>
        <v>7.7777777777777784E-3</v>
      </c>
      <c r="F15" s="215">
        <f t="shared" si="1"/>
        <v>0.15555555555555556</v>
      </c>
    </row>
    <row r="16" spans="1:6">
      <c r="A16" s="59" t="s">
        <v>277</v>
      </c>
      <c r="B16" s="39" t="s">
        <v>54</v>
      </c>
      <c r="C16" s="147">
        <v>0</v>
      </c>
      <c r="D16" s="39">
        <v>0</v>
      </c>
      <c r="E16">
        <f t="shared" si="0"/>
        <v>0</v>
      </c>
      <c r="F16">
        <f t="shared" si="1"/>
        <v>0</v>
      </c>
    </row>
    <row r="17" spans="1:6">
      <c r="A17" s="59" t="s">
        <v>30</v>
      </c>
      <c r="B17" s="39" t="s">
        <v>54</v>
      </c>
      <c r="C17" s="147">
        <v>0</v>
      </c>
      <c r="D17" s="39">
        <v>0</v>
      </c>
      <c r="E17">
        <f t="shared" si="0"/>
        <v>0</v>
      </c>
      <c r="F17">
        <f t="shared" si="1"/>
        <v>0</v>
      </c>
    </row>
    <row r="18" spans="1:6">
      <c r="A18" s="59" t="s">
        <v>279</v>
      </c>
      <c r="B18" s="39" t="s">
        <v>357</v>
      </c>
      <c r="C18" s="147">
        <v>2.5000000000000001E-4</v>
      </c>
      <c r="D18" s="39">
        <v>3.2000000000000001E-2</v>
      </c>
      <c r="E18">
        <f t="shared" si="0"/>
        <v>3.5555555555555557E-3</v>
      </c>
      <c r="F18" s="214">
        <f t="shared" si="1"/>
        <v>7.1111111111111111E-2</v>
      </c>
    </row>
    <row r="19" spans="1:6">
      <c r="A19" s="59" t="s">
        <v>281</v>
      </c>
      <c r="B19" s="39"/>
      <c r="C19" s="60"/>
    </row>
    <row r="20" spans="1:6" ht="19.5" customHeight="1" thickBot="1">
      <c r="A20" s="63" t="s">
        <v>282</v>
      </c>
      <c r="B20" s="64"/>
      <c r="C20" s="65"/>
    </row>
    <row r="22" spans="1:6" ht="15.75" thickBot="1"/>
    <row r="23" spans="1:6">
      <c r="A23" s="56" t="s">
        <v>380</v>
      </c>
      <c r="B23" s="57"/>
      <c r="C23" s="58"/>
    </row>
    <row r="24" spans="1:6">
      <c r="A24" s="59" t="s">
        <v>261</v>
      </c>
      <c r="B24" s="39"/>
      <c r="C24" s="60"/>
    </row>
    <row r="25" spans="1:6">
      <c r="A25" s="59" t="s">
        <v>262</v>
      </c>
      <c r="B25" s="39"/>
      <c r="C25" s="60"/>
    </row>
    <row r="26" spans="1:6">
      <c r="A26" s="59" t="s">
        <v>264</v>
      </c>
      <c r="B26" s="39" t="s">
        <v>37</v>
      </c>
      <c r="C26" s="60"/>
      <c r="D26" s="38"/>
    </row>
    <row r="27" spans="1:6">
      <c r="A27" s="59" t="s">
        <v>265</v>
      </c>
      <c r="B27" s="39"/>
      <c r="C27" s="60" t="s">
        <v>266</v>
      </c>
    </row>
    <row r="28" spans="1:6">
      <c r="A28" s="59"/>
      <c r="B28" s="39"/>
      <c r="C28" s="60" t="s">
        <v>267</v>
      </c>
    </row>
    <row r="29" spans="1:6">
      <c r="A29" s="59" t="s">
        <v>268</v>
      </c>
      <c r="B29" s="39" t="s">
        <v>375</v>
      </c>
      <c r="C29" s="60"/>
    </row>
    <row r="30" spans="1:6">
      <c r="A30" s="59" t="s">
        <v>270</v>
      </c>
      <c r="B30" s="39" t="s">
        <v>376</v>
      </c>
      <c r="C30" s="61">
        <v>6.9999999999999999E-4</v>
      </c>
    </row>
    <row r="31" spans="1:6">
      <c r="A31" s="59" t="s">
        <v>14</v>
      </c>
      <c r="B31" s="39" t="s">
        <v>54</v>
      </c>
      <c r="C31" s="61">
        <v>0</v>
      </c>
    </row>
    <row r="32" spans="1:6">
      <c r="A32" s="59" t="s">
        <v>16</v>
      </c>
      <c r="B32" s="39" t="s">
        <v>19</v>
      </c>
      <c r="C32" s="61">
        <v>0</v>
      </c>
    </row>
    <row r="33" spans="1:4">
      <c r="A33" s="59" t="s">
        <v>274</v>
      </c>
      <c r="B33" s="39" t="s">
        <v>19</v>
      </c>
      <c r="C33" s="61">
        <v>0</v>
      </c>
    </row>
    <row r="34" spans="1:4">
      <c r="A34" s="59" t="s">
        <v>20</v>
      </c>
      <c r="B34" s="39" t="s">
        <v>377</v>
      </c>
      <c r="C34" s="61">
        <v>0</v>
      </c>
    </row>
    <row r="35" spans="1:4">
      <c r="A35" s="59" t="s">
        <v>22</v>
      </c>
      <c r="B35" s="39" t="s">
        <v>379</v>
      </c>
      <c r="C35" s="61">
        <v>0.22800000000000001</v>
      </c>
    </row>
    <row r="36" spans="1:4">
      <c r="A36" s="59" t="s">
        <v>24</v>
      </c>
      <c r="B36" s="39" t="s">
        <v>366</v>
      </c>
      <c r="C36" s="61">
        <v>1.2999999999999999E-3</v>
      </c>
    </row>
    <row r="37" spans="1:4">
      <c r="A37" s="59" t="s">
        <v>26</v>
      </c>
      <c r="B37" s="39" t="s">
        <v>71</v>
      </c>
      <c r="C37" s="61">
        <v>4.4000000000000003E-3</v>
      </c>
    </row>
    <row r="38" spans="1:4">
      <c r="A38" s="59" t="s">
        <v>277</v>
      </c>
      <c r="B38" s="39" t="s">
        <v>54</v>
      </c>
      <c r="C38" s="61">
        <v>0</v>
      </c>
    </row>
    <row r="39" spans="1:4">
      <c r="A39" s="59" t="s">
        <v>30</v>
      </c>
      <c r="B39" s="39" t="s">
        <v>54</v>
      </c>
      <c r="C39" s="61">
        <v>0</v>
      </c>
    </row>
    <row r="40" spans="1:4">
      <c r="A40" s="59" t="s">
        <v>279</v>
      </c>
      <c r="B40" s="39" t="s">
        <v>378</v>
      </c>
      <c r="C40" s="61">
        <v>1E-3</v>
      </c>
    </row>
    <row r="41" spans="1:4">
      <c r="A41" s="59" t="s">
        <v>281</v>
      </c>
      <c r="B41" s="39"/>
      <c r="C41" s="61"/>
    </row>
    <row r="42" spans="1:4" ht="15.75" thickBot="1">
      <c r="A42" s="63" t="s">
        <v>282</v>
      </c>
      <c r="B42" s="64"/>
      <c r="C42" s="150"/>
    </row>
    <row r="45" spans="1:4" ht="16.5">
      <c r="A45" s="218"/>
    </row>
    <row r="46" spans="1:4" ht="15.75" thickBot="1"/>
    <row r="47" spans="1:4" ht="37.5">
      <c r="A47" s="223" t="s">
        <v>406</v>
      </c>
      <c r="B47" s="224"/>
      <c r="C47" s="224"/>
      <c r="D47" s="225"/>
    </row>
    <row r="48" spans="1:4" ht="16.5">
      <c r="A48" s="226" t="s">
        <v>261</v>
      </c>
      <c r="B48" s="227"/>
      <c r="C48" s="227"/>
      <c r="D48" s="228"/>
    </row>
    <row r="49" spans="1:8" ht="16.5">
      <c r="A49" s="226" t="s">
        <v>262</v>
      </c>
      <c r="B49" s="219" t="s">
        <v>297</v>
      </c>
      <c r="C49" s="219"/>
      <c r="D49" s="220"/>
    </row>
    <row r="50" spans="1:8" ht="16.5">
      <c r="A50" s="226" t="s">
        <v>264</v>
      </c>
      <c r="B50" s="219" t="s">
        <v>37</v>
      </c>
      <c r="C50" s="219"/>
      <c r="D50" s="220"/>
    </row>
    <row r="51" spans="1:8" ht="16.5">
      <c r="A51" s="298" t="s">
        <v>265</v>
      </c>
      <c r="B51" s="299"/>
      <c r="C51" s="299"/>
      <c r="D51" s="220" t="s">
        <v>266</v>
      </c>
    </row>
    <row r="52" spans="1:8" ht="16.5">
      <c r="A52" s="298"/>
      <c r="B52" s="299"/>
      <c r="C52" s="299"/>
      <c r="D52" s="220" t="s">
        <v>267</v>
      </c>
    </row>
    <row r="53" spans="1:8" ht="16.5">
      <c r="A53" s="226" t="s">
        <v>268</v>
      </c>
      <c r="B53" s="219">
        <v>1.4</v>
      </c>
      <c r="C53" s="219" t="s">
        <v>381</v>
      </c>
      <c r="D53" s="220"/>
      <c r="E53" s="38">
        <f>SUM(B53/20)</f>
        <v>6.9999999999999993E-2</v>
      </c>
      <c r="F53" s="221">
        <v>0</v>
      </c>
      <c r="G53">
        <f>SUM(F53/20)</f>
        <v>0</v>
      </c>
      <c r="H53" s="164"/>
    </row>
    <row r="54" spans="1:8" ht="16.5">
      <c r="A54" s="226" t="s">
        <v>270</v>
      </c>
      <c r="B54" s="219">
        <v>0</v>
      </c>
      <c r="C54" s="219" t="s">
        <v>382</v>
      </c>
      <c r="D54" s="221">
        <v>0</v>
      </c>
      <c r="E54" s="38">
        <f t="shared" ref="E54:E64" si="2">SUM(B54/20)</f>
        <v>0</v>
      </c>
      <c r="F54" s="221">
        <v>0</v>
      </c>
      <c r="G54">
        <f t="shared" ref="G54:G57" si="3">SUM(F54/20)</f>
        <v>0</v>
      </c>
      <c r="H54" s="164">
        <f t="shared" ref="H54:H59" si="4">SUM(G54*9)</f>
        <v>0</v>
      </c>
    </row>
    <row r="55" spans="1:8" ht="16.5">
      <c r="A55" s="226" t="s">
        <v>14</v>
      </c>
      <c r="B55" s="219">
        <v>0</v>
      </c>
      <c r="C55" s="219" t="s">
        <v>382</v>
      </c>
      <c r="D55" s="221">
        <v>0</v>
      </c>
      <c r="E55" s="38">
        <f t="shared" si="2"/>
        <v>0</v>
      </c>
      <c r="F55" s="221">
        <v>0</v>
      </c>
      <c r="G55">
        <f t="shared" si="3"/>
        <v>0</v>
      </c>
      <c r="H55" s="164">
        <f t="shared" si="4"/>
        <v>0</v>
      </c>
    </row>
    <row r="56" spans="1:8" ht="16.5">
      <c r="A56" s="226" t="s">
        <v>16</v>
      </c>
      <c r="B56" s="219">
        <v>0</v>
      </c>
      <c r="C56" s="219" t="s">
        <v>382</v>
      </c>
      <c r="D56" s="221">
        <v>0</v>
      </c>
      <c r="E56" s="38">
        <f t="shared" si="2"/>
        <v>0</v>
      </c>
      <c r="F56" s="221">
        <v>0</v>
      </c>
      <c r="G56">
        <f t="shared" si="3"/>
        <v>0</v>
      </c>
      <c r="H56" s="164">
        <f t="shared" si="4"/>
        <v>0</v>
      </c>
    </row>
    <row r="57" spans="1:8" ht="16.5">
      <c r="A57" s="226" t="s">
        <v>274</v>
      </c>
      <c r="B57" s="219">
        <v>0</v>
      </c>
      <c r="C57" s="219" t="s">
        <v>382</v>
      </c>
      <c r="D57" s="221">
        <v>0</v>
      </c>
      <c r="E57" s="38">
        <f t="shared" si="2"/>
        <v>0</v>
      </c>
      <c r="F57" s="221">
        <v>0</v>
      </c>
      <c r="G57">
        <f t="shared" si="3"/>
        <v>0</v>
      </c>
      <c r="H57" s="164">
        <f t="shared" si="4"/>
        <v>0</v>
      </c>
    </row>
    <row r="58" spans="1:8" ht="16.5">
      <c r="A58" s="226" t="s">
        <v>20</v>
      </c>
      <c r="B58" s="219">
        <v>0</v>
      </c>
      <c r="C58" s="219" t="s">
        <v>383</v>
      </c>
      <c r="D58" s="221">
        <v>0</v>
      </c>
      <c r="E58" s="38">
        <f t="shared" si="2"/>
        <v>0</v>
      </c>
      <c r="F58" s="221">
        <v>0.26</v>
      </c>
      <c r="H58" s="162">
        <f>SUM(G58*9)</f>
        <v>0</v>
      </c>
    </row>
    <row r="59" spans="1:8" ht="16.5">
      <c r="A59" s="226" t="s">
        <v>22</v>
      </c>
      <c r="B59" s="219">
        <v>520</v>
      </c>
      <c r="C59" s="219" t="s">
        <v>383</v>
      </c>
      <c r="D59" s="221">
        <v>0.26</v>
      </c>
      <c r="E59" s="38">
        <f t="shared" si="2"/>
        <v>26</v>
      </c>
      <c r="F59" s="222">
        <v>1E-3</v>
      </c>
      <c r="H59" s="162">
        <f t="shared" si="4"/>
        <v>0</v>
      </c>
    </row>
    <row r="60" spans="1:8" ht="16.5">
      <c r="A60" s="226" t="s">
        <v>24</v>
      </c>
      <c r="B60" s="219">
        <v>0.3</v>
      </c>
      <c r="C60" s="219" t="s">
        <v>382</v>
      </c>
      <c r="D60" s="222">
        <v>1E-3</v>
      </c>
      <c r="E60" s="38">
        <f t="shared" si="2"/>
        <v>1.4999999999999999E-2</v>
      </c>
      <c r="F60" s="222">
        <v>4.0000000000000001E-3</v>
      </c>
      <c r="H60" s="162">
        <f ca="1">H54:H60=SUM(G60*9)</f>
        <v>0</v>
      </c>
    </row>
    <row r="61" spans="1:8" ht="16.5">
      <c r="A61" s="226" t="s">
        <v>26</v>
      </c>
      <c r="B61" s="219">
        <v>0.1</v>
      </c>
      <c r="C61" s="219" t="s">
        <v>382</v>
      </c>
      <c r="D61" s="231">
        <v>4.0000000000000001E-3</v>
      </c>
      <c r="E61" s="38">
        <f t="shared" si="2"/>
        <v>5.0000000000000001E-3</v>
      </c>
      <c r="F61" s="221">
        <v>0</v>
      </c>
      <c r="H61" s="164"/>
    </row>
    <row r="62" spans="1:8" ht="16.5">
      <c r="A62" s="226" t="s">
        <v>277</v>
      </c>
      <c r="B62" s="219">
        <v>0</v>
      </c>
      <c r="C62" s="219" t="s">
        <v>382</v>
      </c>
      <c r="D62" s="221">
        <v>0</v>
      </c>
      <c r="E62" s="38">
        <f t="shared" si="2"/>
        <v>0</v>
      </c>
      <c r="F62" s="221">
        <v>0</v>
      </c>
      <c r="H62" s="164"/>
    </row>
    <row r="63" spans="1:8" ht="16.5">
      <c r="A63" s="226" t="s">
        <v>30</v>
      </c>
      <c r="B63" s="219">
        <v>0</v>
      </c>
      <c r="C63" s="219" t="s">
        <v>382</v>
      </c>
      <c r="D63" s="221">
        <v>0</v>
      </c>
      <c r="E63" s="38">
        <f t="shared" si="2"/>
        <v>0</v>
      </c>
      <c r="F63" s="222"/>
      <c r="H63" s="162"/>
    </row>
    <row r="64" spans="1:8" ht="16.5">
      <c r="A64" s="226" t="s">
        <v>279</v>
      </c>
      <c r="B64" s="219">
        <v>0.05</v>
      </c>
      <c r="C64" s="219" t="s">
        <v>382</v>
      </c>
      <c r="D64" s="222">
        <v>4.0000000000000002E-4</v>
      </c>
      <c r="E64" s="38">
        <f t="shared" si="2"/>
        <v>2.5000000000000001E-3</v>
      </c>
    </row>
    <row r="65" spans="1:10" ht="16.5" customHeight="1">
      <c r="A65" s="300" t="s">
        <v>281</v>
      </c>
      <c r="B65" s="301"/>
      <c r="C65" s="301"/>
      <c r="D65" s="302"/>
    </row>
    <row r="66" spans="1:10" ht="15.75" customHeight="1" thickBot="1">
      <c r="A66" s="303" t="s">
        <v>282</v>
      </c>
      <c r="B66" s="304"/>
      <c r="C66" s="304"/>
      <c r="D66" s="305"/>
      <c r="G66">
        <f ca="1">G66</f>
        <v>0</v>
      </c>
    </row>
    <row r="68" spans="1:10" ht="17.25" thickBot="1">
      <c r="A68" s="218"/>
      <c r="F68" t="s">
        <v>408</v>
      </c>
      <c r="G68" t="s">
        <v>409</v>
      </c>
      <c r="I68" t="s">
        <v>410</v>
      </c>
      <c r="J68" t="s">
        <v>409</v>
      </c>
    </row>
    <row r="69" spans="1:10" ht="37.5">
      <c r="A69" s="223" t="s">
        <v>406</v>
      </c>
      <c r="B69" s="224"/>
      <c r="C69" s="224"/>
      <c r="D69" s="225"/>
      <c r="E69" s="219">
        <v>1.4</v>
      </c>
      <c r="F69">
        <f>SUM(E69)/20</f>
        <v>6.9999999999999993E-2</v>
      </c>
      <c r="G69">
        <f>SUM(F69*9)</f>
        <v>0.62999999999999989</v>
      </c>
      <c r="H69" s="221">
        <v>0</v>
      </c>
      <c r="I69" s="237">
        <f>SUM(H69/20)</f>
        <v>0</v>
      </c>
      <c r="J69" s="236">
        <f>SUM(I69*9)</f>
        <v>0</v>
      </c>
    </row>
    <row r="70" spans="1:10" ht="16.5">
      <c r="A70" s="226" t="s">
        <v>261</v>
      </c>
      <c r="B70" s="227"/>
      <c r="C70" s="227"/>
      <c r="D70" s="228"/>
      <c r="E70" s="219">
        <v>0</v>
      </c>
      <c r="F70">
        <f t="shared" ref="F70:F80" si="5">SUM(E70)/20</f>
        <v>0</v>
      </c>
      <c r="G70">
        <f t="shared" ref="G70:G80" si="6">SUM(F70*9)</f>
        <v>0</v>
      </c>
      <c r="H70" s="221">
        <v>0</v>
      </c>
      <c r="I70" s="237">
        <f t="shared" ref="I70:I79" si="7">SUM(H70/20)</f>
        <v>0</v>
      </c>
      <c r="J70" s="236">
        <f t="shared" ref="J70:J79" si="8">SUM(I70*9)</f>
        <v>0</v>
      </c>
    </row>
    <row r="71" spans="1:10" ht="16.5">
      <c r="A71" s="226" t="s">
        <v>262</v>
      </c>
      <c r="B71" s="219" t="s">
        <v>297</v>
      </c>
      <c r="C71" s="219"/>
      <c r="D71" s="220"/>
      <c r="E71" s="219">
        <v>0</v>
      </c>
      <c r="F71">
        <f t="shared" si="5"/>
        <v>0</v>
      </c>
      <c r="G71">
        <f t="shared" si="6"/>
        <v>0</v>
      </c>
      <c r="H71" s="221">
        <v>0</v>
      </c>
      <c r="I71" s="237">
        <f t="shared" si="7"/>
        <v>0</v>
      </c>
      <c r="J71" s="236">
        <f t="shared" si="8"/>
        <v>0</v>
      </c>
    </row>
    <row r="72" spans="1:10" ht="16.5">
      <c r="A72" s="226" t="s">
        <v>264</v>
      </c>
      <c r="B72" s="219" t="s">
        <v>411</v>
      </c>
      <c r="C72" s="219"/>
      <c r="D72" s="220"/>
      <c r="E72" s="219">
        <v>0</v>
      </c>
      <c r="F72">
        <f t="shared" si="5"/>
        <v>0</v>
      </c>
      <c r="G72">
        <f t="shared" si="6"/>
        <v>0</v>
      </c>
      <c r="H72" s="221">
        <v>0</v>
      </c>
      <c r="I72" s="237">
        <f t="shared" si="7"/>
        <v>0</v>
      </c>
      <c r="J72" s="236">
        <f t="shared" si="8"/>
        <v>0</v>
      </c>
    </row>
    <row r="73" spans="1:10" ht="16.5">
      <c r="A73" s="298" t="s">
        <v>265</v>
      </c>
      <c r="B73" s="299"/>
      <c r="C73" s="299"/>
      <c r="D73" s="220" t="s">
        <v>266</v>
      </c>
      <c r="E73" s="219">
        <v>0</v>
      </c>
      <c r="F73">
        <f t="shared" si="5"/>
        <v>0</v>
      </c>
      <c r="G73">
        <f t="shared" si="6"/>
        <v>0</v>
      </c>
      <c r="H73" s="221">
        <v>0</v>
      </c>
      <c r="I73" s="237">
        <f t="shared" si="7"/>
        <v>0</v>
      </c>
      <c r="J73" s="236">
        <f t="shared" si="8"/>
        <v>0</v>
      </c>
    </row>
    <row r="74" spans="1:10" ht="16.5">
      <c r="A74" s="298"/>
      <c r="B74" s="299"/>
      <c r="C74" s="299"/>
      <c r="D74" s="220" t="s">
        <v>267</v>
      </c>
      <c r="E74" s="219">
        <v>0</v>
      </c>
      <c r="F74">
        <f t="shared" si="5"/>
        <v>0</v>
      </c>
      <c r="G74">
        <f t="shared" si="6"/>
        <v>0</v>
      </c>
      <c r="H74" s="221">
        <v>0.26</v>
      </c>
      <c r="I74" s="237">
        <f t="shared" si="7"/>
        <v>1.3000000000000001E-2</v>
      </c>
      <c r="J74" s="236">
        <f t="shared" si="8"/>
        <v>0.11700000000000001</v>
      </c>
    </row>
    <row r="75" spans="1:10" ht="16.5">
      <c r="A75" s="226" t="s">
        <v>268</v>
      </c>
      <c r="B75" s="219">
        <v>0.62999999999999989</v>
      </c>
      <c r="C75" s="219" t="s">
        <v>381</v>
      </c>
      <c r="D75" s="220"/>
      <c r="E75" s="219">
        <v>520</v>
      </c>
      <c r="F75">
        <f t="shared" si="5"/>
        <v>26</v>
      </c>
      <c r="G75">
        <f t="shared" si="6"/>
        <v>234</v>
      </c>
      <c r="H75" s="222">
        <v>1E-3</v>
      </c>
      <c r="I75" s="237">
        <f t="shared" si="7"/>
        <v>5.0000000000000002E-5</v>
      </c>
      <c r="J75" s="236">
        <f t="shared" si="8"/>
        <v>4.5000000000000004E-4</v>
      </c>
    </row>
    <row r="76" spans="1:10" ht="16.5">
      <c r="A76" s="226" t="s">
        <v>270</v>
      </c>
      <c r="B76" s="219">
        <v>0</v>
      </c>
      <c r="C76" s="219" t="s">
        <v>382</v>
      </c>
      <c r="D76" s="221">
        <v>0</v>
      </c>
      <c r="E76" s="219">
        <v>0.3</v>
      </c>
      <c r="F76">
        <f t="shared" si="5"/>
        <v>1.4999999999999999E-2</v>
      </c>
      <c r="G76">
        <f t="shared" si="6"/>
        <v>0.13500000000000001</v>
      </c>
      <c r="H76" s="231">
        <v>4.0000000000000001E-3</v>
      </c>
      <c r="I76" s="237">
        <f t="shared" si="7"/>
        <v>2.0000000000000001E-4</v>
      </c>
      <c r="J76" s="236">
        <f t="shared" si="8"/>
        <v>1.8000000000000002E-3</v>
      </c>
    </row>
    <row r="77" spans="1:10" ht="16.5">
      <c r="A77" s="226" t="s">
        <v>14</v>
      </c>
      <c r="B77" s="219">
        <v>0</v>
      </c>
      <c r="C77" s="219" t="s">
        <v>382</v>
      </c>
      <c r="D77" s="221">
        <v>0</v>
      </c>
      <c r="E77" s="219">
        <v>0.1</v>
      </c>
      <c r="F77">
        <f t="shared" si="5"/>
        <v>5.0000000000000001E-3</v>
      </c>
      <c r="G77">
        <f t="shared" si="6"/>
        <v>4.4999999999999998E-2</v>
      </c>
      <c r="H77" s="221">
        <v>0</v>
      </c>
      <c r="I77" s="237">
        <f t="shared" si="7"/>
        <v>0</v>
      </c>
      <c r="J77" s="236">
        <f t="shared" si="8"/>
        <v>0</v>
      </c>
    </row>
    <row r="78" spans="1:10" ht="16.5">
      <c r="A78" s="226" t="s">
        <v>16</v>
      </c>
      <c r="B78" s="219">
        <v>0</v>
      </c>
      <c r="C78" s="219" t="s">
        <v>382</v>
      </c>
      <c r="D78" s="221">
        <v>0</v>
      </c>
      <c r="E78" s="219">
        <v>0</v>
      </c>
      <c r="F78">
        <f t="shared" si="5"/>
        <v>0</v>
      </c>
      <c r="G78">
        <f t="shared" si="6"/>
        <v>0</v>
      </c>
      <c r="H78" s="221">
        <v>0</v>
      </c>
      <c r="I78" s="237">
        <f t="shared" si="7"/>
        <v>0</v>
      </c>
      <c r="J78" s="236">
        <f t="shared" si="8"/>
        <v>0</v>
      </c>
    </row>
    <row r="79" spans="1:10" ht="16.5">
      <c r="A79" s="226" t="s">
        <v>274</v>
      </c>
      <c r="B79" s="219">
        <v>0</v>
      </c>
      <c r="C79" s="219" t="s">
        <v>382</v>
      </c>
      <c r="D79" s="221">
        <v>0</v>
      </c>
      <c r="E79" s="219">
        <v>0</v>
      </c>
      <c r="F79">
        <f t="shared" si="5"/>
        <v>0</v>
      </c>
      <c r="G79">
        <f t="shared" si="6"/>
        <v>0</v>
      </c>
      <c r="H79" s="222">
        <v>4.0000000000000002E-4</v>
      </c>
      <c r="I79" s="237">
        <f t="shared" si="7"/>
        <v>2.0000000000000002E-5</v>
      </c>
      <c r="J79" s="236">
        <f t="shared" si="8"/>
        <v>1.8000000000000001E-4</v>
      </c>
    </row>
    <row r="80" spans="1:10" ht="16.5">
      <c r="A80" s="226" t="s">
        <v>20</v>
      </c>
      <c r="B80" s="219">
        <v>0</v>
      </c>
      <c r="C80" s="219" t="s">
        <v>383</v>
      </c>
      <c r="D80" s="221">
        <v>0</v>
      </c>
      <c r="E80" s="219">
        <v>0.05</v>
      </c>
      <c r="F80">
        <f t="shared" si="5"/>
        <v>2.5000000000000001E-3</v>
      </c>
      <c r="G80">
        <f t="shared" si="6"/>
        <v>2.2499999999999999E-2</v>
      </c>
    </row>
    <row r="81" spans="1:4" ht="16.5">
      <c r="A81" s="226" t="s">
        <v>22</v>
      </c>
      <c r="B81" s="219">
        <v>234</v>
      </c>
      <c r="C81" s="219" t="s">
        <v>383</v>
      </c>
      <c r="D81" s="221">
        <v>0.11700000000000001</v>
      </c>
    </row>
    <row r="82" spans="1:4" ht="16.5">
      <c r="A82" s="226" t="s">
        <v>24</v>
      </c>
      <c r="B82" s="219">
        <v>0.13500000000000001</v>
      </c>
      <c r="C82" s="219" t="s">
        <v>382</v>
      </c>
      <c r="D82" s="222">
        <v>4.5000000000000004E-4</v>
      </c>
    </row>
    <row r="83" spans="1:4" ht="16.5">
      <c r="A83" s="226" t="s">
        <v>26</v>
      </c>
      <c r="B83" s="230">
        <v>4.4999999999999998E-2</v>
      </c>
      <c r="C83" s="219" t="s">
        <v>382</v>
      </c>
      <c r="D83" s="222">
        <v>1.8000000000000002E-3</v>
      </c>
    </row>
    <row r="84" spans="1:4" ht="16.5">
      <c r="A84" s="226" t="s">
        <v>277</v>
      </c>
      <c r="B84" s="219">
        <v>0</v>
      </c>
      <c r="C84" s="219" t="s">
        <v>382</v>
      </c>
      <c r="D84" s="221">
        <v>0</v>
      </c>
    </row>
    <row r="85" spans="1:4" ht="16.5">
      <c r="A85" s="226" t="s">
        <v>30</v>
      </c>
      <c r="B85" s="219">
        <v>0</v>
      </c>
      <c r="C85" s="219" t="s">
        <v>382</v>
      </c>
      <c r="D85" s="221">
        <v>0</v>
      </c>
    </row>
    <row r="86" spans="1:4" ht="16.5">
      <c r="A86" s="226" t="s">
        <v>279</v>
      </c>
      <c r="B86" s="229">
        <v>2.2499999999999999E-2</v>
      </c>
      <c r="C86" s="219" t="s">
        <v>382</v>
      </c>
      <c r="D86" s="222">
        <v>1.8000000000000001E-4</v>
      </c>
    </row>
    <row r="87" spans="1:4" ht="16.5">
      <c r="A87" s="300" t="s">
        <v>281</v>
      </c>
      <c r="B87" s="301"/>
      <c r="C87" s="301"/>
      <c r="D87" s="302"/>
    </row>
    <row r="88" spans="1:4" ht="17.25" thickBot="1">
      <c r="A88" s="303" t="s">
        <v>282</v>
      </c>
      <c r="B88" s="304"/>
      <c r="C88" s="304"/>
      <c r="D88" s="305"/>
    </row>
  </sheetData>
  <mergeCells count="10">
    <mergeCell ref="A51:A52"/>
    <mergeCell ref="B51:B52"/>
    <mergeCell ref="C51:C52"/>
    <mergeCell ref="A65:D65"/>
    <mergeCell ref="A66:D66"/>
    <mergeCell ref="A73:A74"/>
    <mergeCell ref="B73:B74"/>
    <mergeCell ref="C73:C74"/>
    <mergeCell ref="A87:D87"/>
    <mergeCell ref="A88:D88"/>
  </mergeCells>
  <pageMargins left="0.7" right="0.7" top="0.75" bottom="0.75" header="0.3" footer="0.3"/>
  <pageSetup paperSize="9"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B2CB-E086-455F-8DA8-3685E1F780ED}">
  <dimension ref="A1:G18"/>
  <sheetViews>
    <sheetView topLeftCell="B2" zoomScale="98" zoomScaleNormal="98" workbookViewId="0">
      <selection activeCell="C9" sqref="C9"/>
    </sheetView>
  </sheetViews>
  <sheetFormatPr defaultRowHeight="15"/>
  <cols>
    <col min="1" max="1" width="43.140625" bestFit="1" customWidth="1"/>
    <col min="3" max="3" width="16.5703125" customWidth="1"/>
    <col min="5" max="5" width="43.140625" bestFit="1" customWidth="1"/>
    <col min="7" max="7" width="18.140625" customWidth="1"/>
    <col min="9" max="9" width="7.85546875" customWidth="1"/>
  </cols>
  <sheetData>
    <row r="1" spans="1:7" ht="18.75">
      <c r="A1" s="292" t="s">
        <v>97</v>
      </c>
      <c r="B1" s="293"/>
      <c r="C1" s="66"/>
      <c r="E1" s="292" t="s">
        <v>98</v>
      </c>
      <c r="F1" s="293"/>
      <c r="G1" s="66"/>
    </row>
    <row r="2" spans="1:7">
      <c r="A2" s="273" t="s">
        <v>4</v>
      </c>
      <c r="B2" s="247"/>
      <c r="C2" s="68"/>
      <c r="E2" s="273" t="s">
        <v>4</v>
      </c>
      <c r="F2" s="247"/>
      <c r="G2" s="68"/>
    </row>
    <row r="3" spans="1:7">
      <c r="A3" s="67" t="s">
        <v>5</v>
      </c>
      <c r="B3" s="2">
        <v>19</v>
      </c>
      <c r="C3" s="98"/>
      <c r="E3" s="67" t="s">
        <v>5</v>
      </c>
      <c r="F3" s="2">
        <v>10</v>
      </c>
      <c r="G3" s="309"/>
    </row>
    <row r="4" spans="1:7">
      <c r="A4" s="67" t="s">
        <v>6</v>
      </c>
      <c r="B4" s="4" t="s">
        <v>37</v>
      </c>
      <c r="C4" s="99"/>
      <c r="E4" s="67" t="s">
        <v>6</v>
      </c>
      <c r="F4" s="4" t="s">
        <v>37</v>
      </c>
      <c r="G4" s="310"/>
    </row>
    <row r="5" spans="1:7" ht="30">
      <c r="A5" s="273" t="s">
        <v>38</v>
      </c>
      <c r="B5" s="247"/>
      <c r="C5" s="100" t="s">
        <v>9</v>
      </c>
      <c r="E5" s="273" t="s">
        <v>38</v>
      </c>
      <c r="F5" s="247"/>
      <c r="G5" s="69" t="s">
        <v>9</v>
      </c>
    </row>
    <row r="6" spans="1:7">
      <c r="A6" s="70" t="s">
        <v>10</v>
      </c>
      <c r="B6" s="2" t="s">
        <v>99</v>
      </c>
      <c r="C6" s="101"/>
      <c r="E6" s="70" t="s">
        <v>10</v>
      </c>
      <c r="F6" s="2" t="s">
        <v>99</v>
      </c>
      <c r="G6" s="71"/>
    </row>
    <row r="7" spans="1:7">
      <c r="A7" s="67" t="s">
        <v>12</v>
      </c>
      <c r="B7" s="4" t="s">
        <v>100</v>
      </c>
      <c r="C7" s="101">
        <v>6.5000000000000002E-2</v>
      </c>
      <c r="E7" s="67" t="s">
        <v>12</v>
      </c>
      <c r="F7" s="4" t="s">
        <v>100</v>
      </c>
      <c r="G7" s="72">
        <v>6.5000000000000002E-2</v>
      </c>
    </row>
    <row r="8" spans="1:7">
      <c r="A8" s="67" t="s">
        <v>14</v>
      </c>
      <c r="B8" s="4" t="s">
        <v>101</v>
      </c>
      <c r="C8" s="101">
        <v>0.03</v>
      </c>
      <c r="E8" s="67" t="s">
        <v>14</v>
      </c>
      <c r="F8" s="4" t="s">
        <v>101</v>
      </c>
      <c r="G8" s="72">
        <v>0.03</v>
      </c>
    </row>
    <row r="9" spans="1:7">
      <c r="A9" s="67" t="s">
        <v>16</v>
      </c>
      <c r="B9" s="4" t="s">
        <v>102</v>
      </c>
      <c r="C9" s="101">
        <v>9.2999999999999999E-2</v>
      </c>
      <c r="E9" s="67" t="s">
        <v>16</v>
      </c>
      <c r="F9" s="4" t="s">
        <v>102</v>
      </c>
      <c r="G9" s="72">
        <v>9.2999999999999999E-2</v>
      </c>
    </row>
    <row r="10" spans="1:7">
      <c r="A10" s="67" t="s">
        <v>18</v>
      </c>
      <c r="B10" s="4" t="s">
        <v>19</v>
      </c>
      <c r="C10" s="101">
        <v>0</v>
      </c>
      <c r="E10" s="67" t="s">
        <v>18</v>
      </c>
      <c r="F10" s="4" t="s">
        <v>19</v>
      </c>
      <c r="G10" s="72">
        <v>0</v>
      </c>
    </row>
    <row r="11" spans="1:7">
      <c r="A11" s="67" t="s">
        <v>20</v>
      </c>
      <c r="B11" s="4" t="s">
        <v>103</v>
      </c>
      <c r="C11" s="101">
        <v>8.9999999999999993E-3</v>
      </c>
      <c r="E11" s="67" t="s">
        <v>20</v>
      </c>
      <c r="F11" s="4" t="s">
        <v>103</v>
      </c>
      <c r="G11" s="72">
        <v>8.9999999999999993E-3</v>
      </c>
    </row>
    <row r="12" spans="1:7">
      <c r="A12" s="67" t="s">
        <v>22</v>
      </c>
      <c r="B12" s="4" t="s">
        <v>104</v>
      </c>
      <c r="C12" s="101">
        <v>0.183</v>
      </c>
      <c r="E12" s="67" t="s">
        <v>22</v>
      </c>
      <c r="F12" s="4" t="s">
        <v>104</v>
      </c>
      <c r="G12" s="72">
        <v>0.183</v>
      </c>
    </row>
    <row r="13" spans="1:7">
      <c r="A13" s="67" t="s">
        <v>24</v>
      </c>
      <c r="B13" s="4" t="s">
        <v>105</v>
      </c>
      <c r="C13" s="101">
        <v>7.6E-3</v>
      </c>
      <c r="E13" s="67" t="s">
        <v>24</v>
      </c>
      <c r="F13" s="4" t="s">
        <v>105</v>
      </c>
      <c r="G13" s="73">
        <v>7.6E-3</v>
      </c>
    </row>
    <row r="14" spans="1:7">
      <c r="A14" s="67" t="s">
        <v>26</v>
      </c>
      <c r="B14" s="4" t="s">
        <v>106</v>
      </c>
      <c r="C14" s="101">
        <v>5.4999999999999997E-3</v>
      </c>
      <c r="E14" s="67" t="s">
        <v>26</v>
      </c>
      <c r="F14" s="4" t="s">
        <v>106</v>
      </c>
      <c r="G14" s="73">
        <v>5.4999999999999997E-3</v>
      </c>
    </row>
    <row r="15" spans="1:7">
      <c r="A15" s="67" t="s">
        <v>28</v>
      </c>
      <c r="B15" s="4" t="s">
        <v>107</v>
      </c>
      <c r="C15" s="101">
        <v>4.1000000000000003E-3</v>
      </c>
      <c r="E15" s="67" t="s">
        <v>28</v>
      </c>
      <c r="F15" s="4" t="s">
        <v>107</v>
      </c>
      <c r="G15" s="73">
        <v>4.1000000000000003E-3</v>
      </c>
    </row>
    <row r="16" spans="1:7">
      <c r="A16" s="67" t="s">
        <v>30</v>
      </c>
      <c r="B16" s="4" t="s">
        <v>107</v>
      </c>
      <c r="C16" s="101">
        <v>4.1000000000000003E-3</v>
      </c>
      <c r="E16" s="67" t="s">
        <v>30</v>
      </c>
      <c r="F16" s="4" t="s">
        <v>107</v>
      </c>
      <c r="G16" s="73">
        <v>4.1000000000000003E-3</v>
      </c>
    </row>
    <row r="17" spans="1:7">
      <c r="A17" s="67" t="s">
        <v>32</v>
      </c>
      <c r="B17" s="4" t="s">
        <v>108</v>
      </c>
      <c r="C17" s="101">
        <v>2.9999999999999997E-4</v>
      </c>
      <c r="E17" s="67" t="s">
        <v>32</v>
      </c>
      <c r="F17" s="4" t="s">
        <v>108</v>
      </c>
      <c r="G17" s="73">
        <v>2.9999999999999997E-4</v>
      </c>
    </row>
    <row r="18" spans="1:7" ht="15.75" thickBot="1">
      <c r="A18" s="306" t="s">
        <v>34</v>
      </c>
      <c r="B18" s="307"/>
      <c r="C18" s="308"/>
      <c r="E18" s="306" t="s">
        <v>34</v>
      </c>
      <c r="F18" s="307"/>
      <c r="G18" s="308"/>
    </row>
  </sheetData>
  <mergeCells count="9">
    <mergeCell ref="A5:B5"/>
    <mergeCell ref="E5:F5"/>
    <mergeCell ref="A18:C18"/>
    <mergeCell ref="E18:G18"/>
    <mergeCell ref="A1:B1"/>
    <mergeCell ref="E1:F1"/>
    <mergeCell ref="A2:B2"/>
    <mergeCell ref="E2:F2"/>
    <mergeCell ref="G3:G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8A92-4655-4493-AA27-4E8E40271390}">
  <dimension ref="A1:C20"/>
  <sheetViews>
    <sheetView workbookViewId="0">
      <selection sqref="A1:C20"/>
    </sheetView>
  </sheetViews>
  <sheetFormatPr defaultRowHeight="15"/>
  <cols>
    <col min="1" max="1" width="60" customWidth="1"/>
    <col min="2" max="2" width="15.85546875" customWidth="1"/>
    <col min="3" max="3" width="16.7109375" customWidth="1"/>
  </cols>
  <sheetData>
    <row r="1" spans="1:3">
      <c r="A1" s="56" t="s">
        <v>358</v>
      </c>
      <c r="B1" s="57"/>
      <c r="C1" s="58"/>
    </row>
    <row r="2" spans="1:3">
      <c r="A2" s="59" t="s">
        <v>261</v>
      </c>
      <c r="B2" s="39"/>
      <c r="C2" s="60"/>
    </row>
    <row r="3" spans="1:3">
      <c r="A3" s="59" t="s">
        <v>262</v>
      </c>
      <c r="B3" s="39" t="s">
        <v>359</v>
      </c>
      <c r="C3" s="60"/>
    </row>
    <row r="4" spans="1:3">
      <c r="A4" s="59" t="s">
        <v>264</v>
      </c>
      <c r="B4" s="39" t="s">
        <v>37</v>
      </c>
      <c r="C4" s="60"/>
    </row>
    <row r="5" spans="1:3">
      <c r="A5" s="59" t="s">
        <v>265</v>
      </c>
      <c r="B5" s="39"/>
      <c r="C5" s="60" t="s">
        <v>266</v>
      </c>
    </row>
    <row r="6" spans="1:3">
      <c r="A6" s="59"/>
      <c r="B6" s="39"/>
      <c r="C6" s="60" t="s">
        <v>267</v>
      </c>
    </row>
    <row r="7" spans="1:3">
      <c r="A7" s="59" t="s">
        <v>268</v>
      </c>
      <c r="B7" s="39" t="s">
        <v>360</v>
      </c>
      <c r="C7" s="60"/>
    </row>
    <row r="8" spans="1:3">
      <c r="A8" s="59" t="s">
        <v>270</v>
      </c>
      <c r="B8" s="39" t="s">
        <v>31</v>
      </c>
      <c r="C8" s="61">
        <v>3.2000000000000001E-2</v>
      </c>
    </row>
    <row r="9" spans="1:3">
      <c r="A9" s="59" t="s">
        <v>14</v>
      </c>
      <c r="B9" s="39" t="s">
        <v>361</v>
      </c>
      <c r="C9" s="61">
        <v>1.35E-2</v>
      </c>
    </row>
    <row r="10" spans="1:3">
      <c r="A10" s="59" t="s">
        <v>16</v>
      </c>
      <c r="B10" s="39" t="s">
        <v>299</v>
      </c>
      <c r="C10" s="61">
        <v>0.05</v>
      </c>
    </row>
    <row r="11" spans="1:3">
      <c r="A11" s="59" t="s">
        <v>274</v>
      </c>
      <c r="B11" s="39" t="s">
        <v>54</v>
      </c>
      <c r="C11" s="62">
        <v>0</v>
      </c>
    </row>
    <row r="12" spans="1:3">
      <c r="A12" s="59" t="s">
        <v>20</v>
      </c>
      <c r="B12" s="39" t="s">
        <v>290</v>
      </c>
      <c r="C12" s="62">
        <v>0</v>
      </c>
    </row>
    <row r="13" spans="1:3">
      <c r="A13" s="59" t="s">
        <v>22</v>
      </c>
      <c r="B13" s="39" t="s">
        <v>362</v>
      </c>
      <c r="C13" s="61">
        <v>9.4E-2</v>
      </c>
    </row>
    <row r="14" spans="1:3">
      <c r="A14" s="59" t="s">
        <v>24</v>
      </c>
      <c r="B14" s="39" t="s">
        <v>363</v>
      </c>
      <c r="C14" s="62">
        <v>0.01</v>
      </c>
    </row>
    <row r="15" spans="1:3">
      <c r="A15" s="59" t="s">
        <v>26</v>
      </c>
      <c r="B15" s="39" t="s">
        <v>54</v>
      </c>
      <c r="C15" s="62">
        <v>0</v>
      </c>
    </row>
    <row r="16" spans="1:3">
      <c r="A16" s="59" t="s">
        <v>277</v>
      </c>
      <c r="B16" s="39" t="s">
        <v>258</v>
      </c>
      <c r="C16" s="61">
        <v>8.8000000000000005E-3</v>
      </c>
    </row>
    <row r="17" spans="1:3">
      <c r="A17" s="59" t="s">
        <v>30</v>
      </c>
      <c r="B17" s="39" t="s">
        <v>150</v>
      </c>
      <c r="C17" s="61">
        <v>8.0000000000000002E-3</v>
      </c>
    </row>
    <row r="18" spans="1:3">
      <c r="A18" s="59" t="s">
        <v>279</v>
      </c>
      <c r="B18" s="39" t="s">
        <v>159</v>
      </c>
      <c r="C18" s="61">
        <v>6.9999999999999999E-4</v>
      </c>
    </row>
    <row r="19" spans="1:3">
      <c r="A19" s="59" t="s">
        <v>281</v>
      </c>
      <c r="B19" s="39"/>
      <c r="C19" s="60"/>
    </row>
    <row r="20" spans="1:3" ht="15.75" thickBot="1">
      <c r="A20" s="63" t="s">
        <v>282</v>
      </c>
      <c r="B20" s="64"/>
      <c r="C20" s="6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F945-0A46-4D1F-B900-3068F8AFA19C}">
  <dimension ref="A1:C20"/>
  <sheetViews>
    <sheetView workbookViewId="0">
      <selection sqref="A1:C20"/>
    </sheetView>
  </sheetViews>
  <sheetFormatPr defaultRowHeight="15"/>
  <cols>
    <col min="1" max="1" width="66.140625" customWidth="1"/>
    <col min="2" max="2" width="13.7109375" customWidth="1"/>
    <col min="3" max="3" width="14.28515625" customWidth="1"/>
  </cols>
  <sheetData>
    <row r="1" spans="1:3">
      <c r="A1" s="56" t="s">
        <v>364</v>
      </c>
      <c r="B1" s="57"/>
      <c r="C1" s="58"/>
    </row>
    <row r="2" spans="1:3">
      <c r="A2" s="59" t="s">
        <v>261</v>
      </c>
      <c r="B2" s="39"/>
      <c r="C2" s="60"/>
    </row>
    <row r="3" spans="1:3">
      <c r="A3" s="59" t="s">
        <v>262</v>
      </c>
      <c r="B3" s="39" t="s">
        <v>359</v>
      </c>
      <c r="C3" s="60"/>
    </row>
    <row r="4" spans="1:3">
      <c r="A4" s="59" t="s">
        <v>264</v>
      </c>
      <c r="B4" s="39" t="s">
        <v>37</v>
      </c>
      <c r="C4" s="60"/>
    </row>
    <row r="5" spans="1:3">
      <c r="A5" s="59" t="s">
        <v>265</v>
      </c>
      <c r="B5" s="39"/>
      <c r="C5" s="60" t="s">
        <v>266</v>
      </c>
    </row>
    <row r="6" spans="1:3">
      <c r="A6" s="59"/>
      <c r="B6" s="39"/>
      <c r="C6" s="60" t="s">
        <v>267</v>
      </c>
    </row>
    <row r="7" spans="1:3">
      <c r="A7" s="59" t="s">
        <v>268</v>
      </c>
      <c r="B7" s="39" t="s">
        <v>365</v>
      </c>
      <c r="C7" s="60"/>
    </row>
    <row r="8" spans="1:3">
      <c r="A8" s="59" t="s">
        <v>270</v>
      </c>
      <c r="B8" s="39" t="s">
        <v>366</v>
      </c>
      <c r="C8" s="61">
        <v>6.0000000000000001E-3</v>
      </c>
    </row>
    <row r="9" spans="1:3">
      <c r="A9" s="59" t="s">
        <v>14</v>
      </c>
      <c r="B9" s="39" t="s">
        <v>196</v>
      </c>
      <c r="C9" s="61">
        <v>1.5E-3</v>
      </c>
    </row>
    <row r="10" spans="1:3">
      <c r="A10" s="59" t="s">
        <v>16</v>
      </c>
      <c r="B10" s="39" t="s">
        <v>361</v>
      </c>
      <c r="C10" s="61">
        <v>8.9999999999999993E-3</v>
      </c>
    </row>
    <row r="11" spans="1:3">
      <c r="A11" s="59" t="s">
        <v>274</v>
      </c>
      <c r="B11" s="39" t="s">
        <v>54</v>
      </c>
      <c r="C11" s="62">
        <v>0</v>
      </c>
    </row>
    <row r="12" spans="1:3">
      <c r="A12" s="59" t="s">
        <v>20</v>
      </c>
      <c r="B12" s="39" t="s">
        <v>290</v>
      </c>
      <c r="C12" s="62">
        <v>0</v>
      </c>
    </row>
    <row r="13" spans="1:3">
      <c r="A13" s="59" t="s">
        <v>22</v>
      </c>
      <c r="B13" s="39" t="s">
        <v>367</v>
      </c>
      <c r="C13" s="61">
        <v>8.2000000000000003E-2</v>
      </c>
    </row>
    <row r="14" spans="1:3">
      <c r="A14" s="59" t="s">
        <v>24</v>
      </c>
      <c r="B14" s="39" t="s">
        <v>31</v>
      </c>
      <c r="C14" s="61">
        <v>7.0000000000000001E-3</v>
      </c>
    </row>
    <row r="15" spans="1:3">
      <c r="A15" s="59" t="s">
        <v>26</v>
      </c>
      <c r="B15" s="39" t="s">
        <v>54</v>
      </c>
      <c r="C15" s="62">
        <v>0</v>
      </c>
    </row>
    <row r="16" spans="1:3">
      <c r="A16" s="59" t="s">
        <v>277</v>
      </c>
      <c r="B16" s="39" t="s">
        <v>368</v>
      </c>
      <c r="C16" s="61">
        <v>6.7999999999999996E-3</v>
      </c>
    </row>
    <row r="17" spans="1:3">
      <c r="A17" s="59" t="s">
        <v>30</v>
      </c>
      <c r="B17" s="39" t="s">
        <v>299</v>
      </c>
      <c r="C17" s="61">
        <v>6.0000000000000001E-3</v>
      </c>
    </row>
    <row r="18" spans="1:3">
      <c r="A18" s="59" t="s">
        <v>279</v>
      </c>
      <c r="B18" s="39" t="s">
        <v>159</v>
      </c>
      <c r="C18" s="61">
        <v>6.9999999999999999E-4</v>
      </c>
    </row>
    <row r="19" spans="1:3">
      <c r="A19" s="59" t="s">
        <v>281</v>
      </c>
      <c r="B19" s="39"/>
      <c r="C19" s="60"/>
    </row>
    <row r="20" spans="1:3" ht="15.75" thickBot="1">
      <c r="A20" s="63" t="s">
        <v>282</v>
      </c>
      <c r="B20" s="64"/>
      <c r="C20" s="6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4B12-7904-499E-8CE9-41482D794AFD}">
  <dimension ref="A1:C20"/>
  <sheetViews>
    <sheetView workbookViewId="0">
      <selection sqref="A1:C20"/>
    </sheetView>
  </sheetViews>
  <sheetFormatPr defaultRowHeight="15"/>
  <cols>
    <col min="1" max="1" width="55.42578125" customWidth="1"/>
    <col min="2" max="2" width="15.5703125" customWidth="1"/>
    <col min="3" max="3" width="21.28515625" customWidth="1"/>
  </cols>
  <sheetData>
    <row r="1" spans="1:3">
      <c r="A1" s="59" t="s">
        <v>369</v>
      </c>
      <c r="B1" s="39"/>
      <c r="C1" s="60"/>
    </row>
    <row r="2" spans="1:3">
      <c r="A2" s="59" t="s">
        <v>261</v>
      </c>
      <c r="B2" s="39"/>
      <c r="C2" s="60"/>
    </row>
    <row r="3" spans="1:3">
      <c r="A3" s="59" t="s">
        <v>262</v>
      </c>
      <c r="B3" s="39" t="s">
        <v>359</v>
      </c>
      <c r="C3" s="60"/>
    </row>
    <row r="4" spans="1:3">
      <c r="A4" s="59" t="s">
        <v>264</v>
      </c>
      <c r="B4" s="39" t="s">
        <v>37</v>
      </c>
      <c r="C4" s="60"/>
    </row>
    <row r="5" spans="1:3">
      <c r="A5" s="59" t="s">
        <v>265</v>
      </c>
      <c r="B5" s="39"/>
      <c r="C5" s="60" t="s">
        <v>266</v>
      </c>
    </row>
    <row r="6" spans="1:3">
      <c r="A6" s="59"/>
      <c r="B6" s="39"/>
      <c r="C6" s="60" t="s">
        <v>267</v>
      </c>
    </row>
    <row r="7" spans="1:3">
      <c r="A7" s="59" t="s">
        <v>268</v>
      </c>
      <c r="B7" s="39" t="s">
        <v>370</v>
      </c>
      <c r="C7" s="60"/>
    </row>
    <row r="8" spans="1:3">
      <c r="A8" s="59" t="s">
        <v>270</v>
      </c>
      <c r="B8" s="39" t="s">
        <v>366</v>
      </c>
      <c r="C8" s="61">
        <v>6.0000000000000001E-3</v>
      </c>
    </row>
    <row r="9" spans="1:3">
      <c r="A9" s="59" t="s">
        <v>14</v>
      </c>
      <c r="B9" s="39" t="s">
        <v>196</v>
      </c>
      <c r="C9" s="61">
        <v>1.5E-3</v>
      </c>
    </row>
    <row r="10" spans="1:3">
      <c r="A10" s="59" t="s">
        <v>16</v>
      </c>
      <c r="B10" s="39" t="s">
        <v>361</v>
      </c>
      <c r="C10" s="61">
        <v>8.9999999999999993E-3</v>
      </c>
    </row>
    <row r="11" spans="1:3">
      <c r="A11" s="59" t="s">
        <v>274</v>
      </c>
      <c r="B11" s="39" t="s">
        <v>54</v>
      </c>
      <c r="C11" s="62">
        <v>0</v>
      </c>
    </row>
    <row r="12" spans="1:3">
      <c r="A12" s="59" t="s">
        <v>20</v>
      </c>
      <c r="B12" s="39" t="s">
        <v>290</v>
      </c>
      <c r="C12" s="62">
        <v>0</v>
      </c>
    </row>
    <row r="13" spans="1:3">
      <c r="A13" s="59" t="s">
        <v>22</v>
      </c>
      <c r="B13" s="39" t="s">
        <v>371</v>
      </c>
      <c r="C13" s="61">
        <v>7.2999999999999995E-2</v>
      </c>
    </row>
    <row r="14" spans="1:3">
      <c r="A14" s="59" t="s">
        <v>24</v>
      </c>
      <c r="B14" s="39" t="s">
        <v>257</v>
      </c>
      <c r="C14" s="61">
        <v>8.9999999999999993E-3</v>
      </c>
    </row>
    <row r="15" spans="1:3">
      <c r="A15" s="59" t="s">
        <v>26</v>
      </c>
      <c r="B15" s="39" t="s">
        <v>54</v>
      </c>
      <c r="C15" s="62">
        <v>0</v>
      </c>
    </row>
    <row r="16" spans="1:3">
      <c r="A16" s="59" t="s">
        <v>277</v>
      </c>
      <c r="B16" s="39" t="s">
        <v>258</v>
      </c>
      <c r="C16" s="61">
        <v>8.8000000000000005E-3</v>
      </c>
    </row>
    <row r="17" spans="1:3">
      <c r="A17" s="59" t="s">
        <v>30</v>
      </c>
      <c r="B17" s="39" t="s">
        <v>150</v>
      </c>
      <c r="C17" s="61">
        <v>8.0000000000000002E-3</v>
      </c>
    </row>
    <row r="18" spans="1:3">
      <c r="A18" s="59" t="s">
        <v>279</v>
      </c>
      <c r="B18" s="39" t="s">
        <v>159</v>
      </c>
      <c r="C18" s="61">
        <v>6.9999999999999999E-4</v>
      </c>
    </row>
    <row r="19" spans="1:3">
      <c r="A19" s="59" t="s">
        <v>281</v>
      </c>
      <c r="B19" s="39"/>
      <c r="C19" s="60"/>
    </row>
    <row r="20" spans="1:3" ht="15.75" thickBot="1">
      <c r="A20" s="63" t="s">
        <v>282</v>
      </c>
      <c r="B20" s="64"/>
      <c r="C20" s="6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5BC3-66AF-4B75-AE8D-C23EFD82F023}">
  <dimension ref="A1:G18"/>
  <sheetViews>
    <sheetView topLeftCell="A6" zoomScale="99" zoomScaleNormal="99" workbookViewId="0">
      <selection activeCell="B3" sqref="B3"/>
    </sheetView>
  </sheetViews>
  <sheetFormatPr defaultRowHeight="15"/>
  <cols>
    <col min="1" max="1" width="43.140625" bestFit="1" customWidth="1"/>
    <col min="2" max="2" width="7.7109375" bestFit="1" customWidth="1"/>
    <col min="3" max="3" width="13.28515625" customWidth="1"/>
    <col min="5" max="5" width="43.140625" bestFit="1" customWidth="1"/>
    <col min="7" max="7" width="14.85546875" customWidth="1"/>
    <col min="9" max="9" width="8.5703125" customWidth="1"/>
    <col min="10" max="10" width="8.28515625" bestFit="1" customWidth="1"/>
  </cols>
  <sheetData>
    <row r="1" spans="1:7" ht="18.75">
      <c r="A1" s="239" t="s">
        <v>109</v>
      </c>
      <c r="B1" s="241"/>
      <c r="C1" s="1"/>
      <c r="E1" s="239" t="s">
        <v>110</v>
      </c>
      <c r="F1" s="241"/>
      <c r="G1" s="1"/>
    </row>
    <row r="2" spans="1:7">
      <c r="A2" s="247" t="s">
        <v>4</v>
      </c>
      <c r="B2" s="247"/>
      <c r="C2" s="1"/>
      <c r="E2" s="247" t="s">
        <v>4</v>
      </c>
      <c r="F2" s="247"/>
      <c r="G2" s="1"/>
    </row>
    <row r="3" spans="1:7">
      <c r="A3" s="2" t="s">
        <v>5</v>
      </c>
      <c r="B3" s="2">
        <v>20</v>
      </c>
      <c r="C3" s="248"/>
      <c r="E3" s="2" t="s">
        <v>5</v>
      </c>
      <c r="F3" s="2">
        <v>10</v>
      </c>
      <c r="G3" s="248"/>
    </row>
    <row r="4" spans="1:7">
      <c r="A4" s="2" t="s">
        <v>6</v>
      </c>
      <c r="B4" s="4" t="s">
        <v>37</v>
      </c>
      <c r="C4" s="249"/>
      <c r="E4" s="2" t="s">
        <v>6</v>
      </c>
      <c r="F4" s="4" t="s">
        <v>37</v>
      </c>
      <c r="G4" s="249"/>
    </row>
    <row r="5" spans="1:7" ht="45">
      <c r="A5" s="247" t="s">
        <v>38</v>
      </c>
      <c r="B5" s="247"/>
      <c r="C5" s="5" t="s">
        <v>9</v>
      </c>
      <c r="E5" s="247" t="s">
        <v>38</v>
      </c>
      <c r="F5" s="247"/>
      <c r="G5" s="5" t="s">
        <v>9</v>
      </c>
    </row>
    <row r="6" spans="1:7">
      <c r="A6" s="5" t="s">
        <v>10</v>
      </c>
      <c r="B6" s="2" t="s">
        <v>111</v>
      </c>
      <c r="C6" s="2"/>
      <c r="E6" s="5" t="s">
        <v>10</v>
      </c>
      <c r="F6" s="2" t="s">
        <v>111</v>
      </c>
      <c r="G6" s="2"/>
    </row>
    <row r="7" spans="1:7">
      <c r="A7" s="2" t="s">
        <v>12</v>
      </c>
      <c r="B7" s="4" t="s">
        <v>112</v>
      </c>
      <c r="C7" s="9">
        <v>7.1999999999999995E-2</v>
      </c>
      <c r="E7" s="2" t="s">
        <v>12</v>
      </c>
      <c r="F7" s="4" t="s">
        <v>112</v>
      </c>
      <c r="G7" s="9">
        <v>7.1999999999999995E-2</v>
      </c>
    </row>
    <row r="8" spans="1:7">
      <c r="A8" s="2" t="s">
        <v>14</v>
      </c>
      <c r="B8" s="4" t="s">
        <v>113</v>
      </c>
      <c r="C8" s="9">
        <v>3.4000000000000002E-2</v>
      </c>
      <c r="E8" s="2" t="s">
        <v>14</v>
      </c>
      <c r="F8" s="4" t="s">
        <v>113</v>
      </c>
      <c r="G8" s="9">
        <v>3.4000000000000002E-2</v>
      </c>
    </row>
    <row r="9" spans="1:7">
      <c r="A9" s="2" t="s">
        <v>16</v>
      </c>
      <c r="B9" s="4" t="s">
        <v>114</v>
      </c>
      <c r="C9" s="8">
        <v>0.11</v>
      </c>
      <c r="E9" s="2" t="s">
        <v>16</v>
      </c>
      <c r="F9" s="4" t="s">
        <v>114</v>
      </c>
      <c r="G9" s="8">
        <v>0.11</v>
      </c>
    </row>
    <row r="10" spans="1:7">
      <c r="A10" s="2" t="s">
        <v>18</v>
      </c>
      <c r="B10" s="4" t="s">
        <v>19</v>
      </c>
      <c r="C10" s="8">
        <v>0</v>
      </c>
      <c r="E10" s="2" t="s">
        <v>18</v>
      </c>
      <c r="F10" s="4" t="s">
        <v>19</v>
      </c>
      <c r="G10" s="8">
        <v>0</v>
      </c>
    </row>
    <row r="11" spans="1:7">
      <c r="A11" s="2" t="s">
        <v>20</v>
      </c>
      <c r="B11" s="4" t="s">
        <v>115</v>
      </c>
      <c r="C11" s="9">
        <v>2.1000000000000001E-2</v>
      </c>
      <c r="E11" s="2" t="s">
        <v>20</v>
      </c>
      <c r="F11" s="4" t="s">
        <v>115</v>
      </c>
      <c r="G11" s="9">
        <v>2.1000000000000001E-2</v>
      </c>
    </row>
    <row r="12" spans="1:7">
      <c r="A12" s="2" t="s">
        <v>22</v>
      </c>
      <c r="B12" s="4" t="s">
        <v>116</v>
      </c>
      <c r="C12" s="9">
        <v>5.6000000000000001E-2</v>
      </c>
      <c r="E12" s="2" t="s">
        <v>22</v>
      </c>
      <c r="F12" s="4" t="s">
        <v>116</v>
      </c>
      <c r="G12" s="9">
        <v>5.6000000000000001E-2</v>
      </c>
    </row>
    <row r="13" spans="1:7">
      <c r="A13" s="2" t="s">
        <v>24</v>
      </c>
      <c r="B13" s="4" t="s">
        <v>117</v>
      </c>
      <c r="C13" s="6">
        <v>1.6400000000000001E-2</v>
      </c>
      <c r="E13" s="2" t="s">
        <v>24</v>
      </c>
      <c r="F13" s="4" t="s">
        <v>117</v>
      </c>
      <c r="G13" s="6">
        <v>1.6400000000000001E-2</v>
      </c>
    </row>
    <row r="14" spans="1:7">
      <c r="A14" s="2" t="s">
        <v>26</v>
      </c>
      <c r="B14" s="4" t="s">
        <v>118</v>
      </c>
      <c r="C14" s="9">
        <v>5.0000000000000001E-3</v>
      </c>
      <c r="E14" s="2" t="s">
        <v>26</v>
      </c>
      <c r="F14" s="4" t="s">
        <v>118</v>
      </c>
      <c r="G14" s="9">
        <v>5.0000000000000001E-3</v>
      </c>
    </row>
    <row r="15" spans="1:7">
      <c r="A15" s="2" t="s">
        <v>28</v>
      </c>
      <c r="B15" s="4" t="s">
        <v>114</v>
      </c>
      <c r="C15" s="6">
        <v>1.32E-2</v>
      </c>
      <c r="E15" s="2" t="s">
        <v>28</v>
      </c>
      <c r="F15" s="4" t="s">
        <v>114</v>
      </c>
      <c r="G15" s="6">
        <v>1.32E-2</v>
      </c>
    </row>
    <row r="16" spans="1:7">
      <c r="A16" s="2" t="s">
        <v>30</v>
      </c>
      <c r="B16" s="4" t="s">
        <v>119</v>
      </c>
      <c r="C16" s="6">
        <v>1.2800000000000001E-2</v>
      </c>
      <c r="E16" s="2" t="s">
        <v>30</v>
      </c>
      <c r="F16" s="4" t="s">
        <v>119</v>
      </c>
      <c r="G16" s="6">
        <v>1.2800000000000001E-2</v>
      </c>
    </row>
    <row r="17" spans="1:7">
      <c r="A17" s="2" t="s">
        <v>32</v>
      </c>
      <c r="B17" s="4" t="s">
        <v>71</v>
      </c>
      <c r="C17" s="6">
        <v>1.2999999999999999E-3</v>
      </c>
      <c r="E17" s="2" t="s">
        <v>32</v>
      </c>
      <c r="F17" s="4" t="s">
        <v>71</v>
      </c>
      <c r="G17" s="6">
        <v>1.2999999999999999E-3</v>
      </c>
    </row>
    <row r="18" spans="1:7" ht="35.1" customHeight="1">
      <c r="A18" s="253" t="s">
        <v>34</v>
      </c>
      <c r="B18" s="254"/>
      <c r="C18" s="255"/>
      <c r="E18" s="253" t="s">
        <v>34</v>
      </c>
      <c r="F18" s="254"/>
      <c r="G18" s="255"/>
    </row>
  </sheetData>
  <mergeCells count="10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DC2-298A-4381-95A7-B40B96390BFD}">
  <dimension ref="A1:G42"/>
  <sheetViews>
    <sheetView topLeftCell="B30" zoomScaleNormal="100" workbookViewId="0">
      <selection activeCell="C31" sqref="C31:C41"/>
    </sheetView>
  </sheetViews>
  <sheetFormatPr defaultRowHeight="15"/>
  <cols>
    <col min="1" max="1" width="43.140625" bestFit="1" customWidth="1"/>
    <col min="3" max="3" width="16.42578125" customWidth="1"/>
    <col min="5" max="5" width="43.140625" bestFit="1" customWidth="1"/>
    <col min="6" max="6" width="16.7109375" customWidth="1"/>
    <col min="7" max="7" width="15.5703125" customWidth="1"/>
    <col min="9" max="9" width="32.140625" bestFit="1" customWidth="1"/>
    <col min="10" max="10" width="16.28515625" customWidth="1"/>
  </cols>
  <sheetData>
    <row r="1" spans="1:7" ht="18.75">
      <c r="A1" s="324" t="s">
        <v>120</v>
      </c>
      <c r="B1" s="325"/>
      <c r="C1" s="23"/>
      <c r="D1" s="24"/>
      <c r="E1" s="324" t="s">
        <v>121</v>
      </c>
      <c r="F1" s="325"/>
      <c r="G1" s="23"/>
    </row>
    <row r="2" spans="1:7">
      <c r="A2" s="320" t="s">
        <v>4</v>
      </c>
      <c r="B2" s="320"/>
      <c r="C2" s="23"/>
      <c r="D2" s="24"/>
      <c r="E2" s="320" t="s">
        <v>4</v>
      </c>
      <c r="F2" s="320"/>
      <c r="G2" s="23"/>
    </row>
    <row r="3" spans="1:7">
      <c r="A3" s="25" t="s">
        <v>5</v>
      </c>
      <c r="B3" s="25">
        <v>19</v>
      </c>
      <c r="C3" s="326"/>
      <c r="D3" s="24"/>
      <c r="E3" s="25" t="s">
        <v>5</v>
      </c>
      <c r="F3" s="25">
        <v>10</v>
      </c>
      <c r="G3" s="326"/>
    </row>
    <row r="4" spans="1:7">
      <c r="A4" s="25" t="s">
        <v>6</v>
      </c>
      <c r="B4" s="26" t="s">
        <v>37</v>
      </c>
      <c r="C4" s="327"/>
      <c r="D4" s="24"/>
      <c r="E4" s="25" t="s">
        <v>6</v>
      </c>
      <c r="F4" s="26" t="s">
        <v>37</v>
      </c>
      <c r="G4" s="327"/>
    </row>
    <row r="5" spans="1:7" ht="30">
      <c r="A5" s="320" t="s">
        <v>38</v>
      </c>
      <c r="B5" s="320"/>
      <c r="C5" s="27" t="s">
        <v>9</v>
      </c>
      <c r="D5" s="24"/>
      <c r="E5" s="320" t="s">
        <v>38</v>
      </c>
      <c r="F5" s="320"/>
      <c r="G5" s="27" t="s">
        <v>9</v>
      </c>
    </row>
    <row r="6" spans="1:7">
      <c r="A6" s="27" t="s">
        <v>10</v>
      </c>
      <c r="B6" s="25" t="s">
        <v>122</v>
      </c>
      <c r="C6" s="25"/>
      <c r="D6" s="24"/>
      <c r="E6" s="27" t="s">
        <v>10</v>
      </c>
      <c r="F6" s="25" t="s">
        <v>122</v>
      </c>
      <c r="G6" s="25"/>
    </row>
    <row r="7" spans="1:7">
      <c r="A7" s="25" t="s">
        <v>12</v>
      </c>
      <c r="B7" s="26" t="s">
        <v>123</v>
      </c>
      <c r="C7" s="28">
        <v>8.6499999999999994E-2</v>
      </c>
      <c r="D7" s="24"/>
      <c r="E7" s="25" t="s">
        <v>12</v>
      </c>
      <c r="F7" s="26" t="s">
        <v>123</v>
      </c>
      <c r="G7" s="28">
        <v>8.6499999999999994E-2</v>
      </c>
    </row>
    <row r="8" spans="1:7">
      <c r="A8" s="25" t="s">
        <v>14</v>
      </c>
      <c r="B8" s="26" t="s">
        <v>124</v>
      </c>
      <c r="C8" s="29">
        <v>0.04</v>
      </c>
      <c r="D8" s="24"/>
      <c r="E8" s="25" t="s">
        <v>14</v>
      </c>
      <c r="F8" s="26" t="s">
        <v>124</v>
      </c>
      <c r="G8" s="29">
        <v>0.04</v>
      </c>
    </row>
    <row r="9" spans="1:7">
      <c r="A9" s="25" t="s">
        <v>16</v>
      </c>
      <c r="B9" s="26" t="s">
        <v>125</v>
      </c>
      <c r="C9" s="29">
        <v>0.13</v>
      </c>
      <c r="D9" s="24"/>
      <c r="E9" s="25" t="s">
        <v>16</v>
      </c>
      <c r="F9" s="26" t="s">
        <v>125</v>
      </c>
      <c r="G9" s="29">
        <v>0.13</v>
      </c>
    </row>
    <row r="10" spans="1:7">
      <c r="A10" s="25" t="s">
        <v>18</v>
      </c>
      <c r="B10" s="26" t="s">
        <v>19</v>
      </c>
      <c r="C10" s="29">
        <v>0</v>
      </c>
      <c r="D10" s="24"/>
      <c r="E10" s="25" t="s">
        <v>18</v>
      </c>
      <c r="F10" s="26" t="s">
        <v>19</v>
      </c>
      <c r="G10" s="29">
        <v>0</v>
      </c>
    </row>
    <row r="11" spans="1:7">
      <c r="A11" s="25" t="s">
        <v>20</v>
      </c>
      <c r="B11" s="26" t="s">
        <v>126</v>
      </c>
      <c r="C11" s="29">
        <v>1.7000000000000001E-2</v>
      </c>
      <c r="D11" s="24"/>
      <c r="E11" s="25" t="s">
        <v>20</v>
      </c>
      <c r="F11" s="26" t="s">
        <v>126</v>
      </c>
      <c r="G11" s="29">
        <v>1.7000000000000001E-2</v>
      </c>
    </row>
    <row r="12" spans="1:7">
      <c r="A12" s="25" t="s">
        <v>22</v>
      </c>
      <c r="B12" s="26" t="s">
        <v>127</v>
      </c>
      <c r="C12" s="30">
        <v>0.114</v>
      </c>
      <c r="D12" s="24"/>
      <c r="E12" s="25" t="s">
        <v>22</v>
      </c>
      <c r="F12" s="26" t="s">
        <v>127</v>
      </c>
      <c r="G12" s="30">
        <v>0.114</v>
      </c>
    </row>
    <row r="13" spans="1:7">
      <c r="A13" s="25" t="s">
        <v>24</v>
      </c>
      <c r="B13" s="26" t="s">
        <v>128</v>
      </c>
      <c r="C13" s="30">
        <v>6.0000000000000001E-3</v>
      </c>
      <c r="D13" s="24"/>
      <c r="E13" s="25" t="s">
        <v>24</v>
      </c>
      <c r="F13" s="26" t="s">
        <v>128</v>
      </c>
      <c r="G13" s="30">
        <v>6.0000000000000001E-3</v>
      </c>
    </row>
    <row r="14" spans="1:7">
      <c r="A14" s="25" t="s">
        <v>26</v>
      </c>
      <c r="B14" s="26" t="s">
        <v>129</v>
      </c>
      <c r="C14" s="30">
        <v>5.0000000000000001E-3</v>
      </c>
      <c r="D14" s="24"/>
      <c r="E14" s="25" t="s">
        <v>26</v>
      </c>
      <c r="F14" s="26" t="s">
        <v>129</v>
      </c>
      <c r="G14" s="30">
        <v>5.0000000000000001E-3</v>
      </c>
    </row>
    <row r="15" spans="1:7">
      <c r="A15" s="25" t="s">
        <v>28</v>
      </c>
      <c r="B15" s="26" t="s">
        <v>130</v>
      </c>
      <c r="C15" s="30">
        <v>3.0000000000000001E-3</v>
      </c>
      <c r="D15" s="24"/>
      <c r="E15" s="25" t="s">
        <v>28</v>
      </c>
      <c r="F15" s="26" t="s">
        <v>130</v>
      </c>
      <c r="G15" s="30">
        <v>3.0000000000000001E-3</v>
      </c>
    </row>
    <row r="16" spans="1:7">
      <c r="A16" s="25" t="s">
        <v>30</v>
      </c>
      <c r="B16" s="26" t="s">
        <v>131</v>
      </c>
      <c r="C16" s="30">
        <v>3.0000000000000001E-3</v>
      </c>
      <c r="D16" s="24"/>
      <c r="E16" s="25" t="s">
        <v>30</v>
      </c>
      <c r="F16" s="26" t="s">
        <v>131</v>
      </c>
      <c r="G16" s="30">
        <v>3.0000000000000001E-3</v>
      </c>
    </row>
    <row r="17" spans="1:7">
      <c r="A17" s="25" t="s">
        <v>32</v>
      </c>
      <c r="B17" s="26" t="s">
        <v>27</v>
      </c>
      <c r="C17" s="28">
        <v>5.9999999999999995E-4</v>
      </c>
      <c r="D17" s="24"/>
      <c r="E17" s="25" t="s">
        <v>32</v>
      </c>
      <c r="F17" s="26" t="s">
        <v>27</v>
      </c>
      <c r="G17" s="28">
        <v>5.9999999999999995E-4</v>
      </c>
    </row>
    <row r="18" spans="1:7" ht="33.6" customHeight="1">
      <c r="A18" s="321" t="s">
        <v>34</v>
      </c>
      <c r="B18" s="322"/>
      <c r="C18" s="323"/>
      <c r="D18" s="24"/>
      <c r="E18" s="321" t="s">
        <v>34</v>
      </c>
      <c r="F18" s="322"/>
      <c r="G18" s="323"/>
    </row>
    <row r="23" spans="1:7" ht="15.75" thickBot="1"/>
    <row r="24" spans="1:7" ht="18.75">
      <c r="E24" s="292" t="s">
        <v>132</v>
      </c>
      <c r="F24" s="314"/>
    </row>
    <row r="25" spans="1:7" ht="18.75">
      <c r="A25" s="315" t="s">
        <v>133</v>
      </c>
      <c r="B25" s="316"/>
      <c r="C25" s="31"/>
      <c r="E25" s="84" t="s">
        <v>10</v>
      </c>
      <c r="F25" s="85" t="s">
        <v>134</v>
      </c>
    </row>
    <row r="26" spans="1:7" ht="18.75">
      <c r="A26" s="317" t="s">
        <v>4</v>
      </c>
      <c r="B26" s="317"/>
      <c r="C26" s="31"/>
      <c r="E26" s="77" t="s">
        <v>12</v>
      </c>
      <c r="F26" s="107" t="s">
        <v>135</v>
      </c>
    </row>
    <row r="27" spans="1:7" ht="18.75">
      <c r="A27" s="32" t="s">
        <v>5</v>
      </c>
      <c r="B27" s="32">
        <v>17</v>
      </c>
      <c r="C27" s="318"/>
      <c r="E27" s="77" t="s">
        <v>14</v>
      </c>
      <c r="F27" s="107" t="s">
        <v>136</v>
      </c>
    </row>
    <row r="28" spans="1:7" ht="18.75">
      <c r="A28" s="32" t="s">
        <v>6</v>
      </c>
      <c r="B28" s="33" t="s">
        <v>37</v>
      </c>
      <c r="C28" s="319"/>
      <c r="E28" s="77" t="s">
        <v>16</v>
      </c>
      <c r="F28" s="107" t="s">
        <v>137</v>
      </c>
    </row>
    <row r="29" spans="1:7" ht="30">
      <c r="A29" s="317" t="s">
        <v>38</v>
      </c>
      <c r="B29" s="317"/>
      <c r="C29" s="34" t="s">
        <v>9</v>
      </c>
      <c r="E29" s="77" t="s">
        <v>18</v>
      </c>
      <c r="F29" s="107" t="s">
        <v>19</v>
      </c>
    </row>
    <row r="30" spans="1:7" ht="18.75">
      <c r="A30" s="34" t="s">
        <v>10</v>
      </c>
      <c r="B30" s="32" t="s">
        <v>138</v>
      </c>
      <c r="C30" s="32"/>
      <c r="E30" s="77" t="s">
        <v>20</v>
      </c>
      <c r="F30" s="107" t="s">
        <v>139</v>
      </c>
    </row>
    <row r="31" spans="1:7" ht="18.75">
      <c r="A31" s="32" t="s">
        <v>12</v>
      </c>
      <c r="B31" s="33" t="s">
        <v>112</v>
      </c>
      <c r="C31" s="37">
        <v>7.1999999999999995E-2</v>
      </c>
      <c r="E31" s="77" t="s">
        <v>22</v>
      </c>
      <c r="F31" s="107" t="s">
        <v>140</v>
      </c>
    </row>
    <row r="32" spans="1:7" ht="18.75">
      <c r="A32" s="32" t="s">
        <v>14</v>
      </c>
      <c r="B32" s="33">
        <v>0.6</v>
      </c>
      <c r="C32" s="37">
        <v>0.03</v>
      </c>
      <c r="E32" s="77" t="s">
        <v>24</v>
      </c>
      <c r="F32" s="107" t="s">
        <v>141</v>
      </c>
    </row>
    <row r="33" spans="1:6" ht="18.75">
      <c r="A33" s="32" t="s">
        <v>16</v>
      </c>
      <c r="B33" s="33" t="s">
        <v>119</v>
      </c>
      <c r="C33" s="37">
        <v>0.106</v>
      </c>
      <c r="E33" s="77" t="s">
        <v>26</v>
      </c>
      <c r="F33" s="107" t="s">
        <v>74</v>
      </c>
    </row>
    <row r="34" spans="1:6" ht="18.75">
      <c r="A34" s="32" t="s">
        <v>18</v>
      </c>
      <c r="B34" s="33" t="s">
        <v>19</v>
      </c>
      <c r="C34" s="37">
        <v>0</v>
      </c>
      <c r="E34" s="77" t="s">
        <v>28</v>
      </c>
      <c r="F34" s="107" t="s">
        <v>48</v>
      </c>
    </row>
    <row r="35" spans="1:6" ht="18.75">
      <c r="A35" s="32" t="s">
        <v>20</v>
      </c>
      <c r="B35" s="33" t="s">
        <v>126</v>
      </c>
      <c r="C35" s="37">
        <v>0.02</v>
      </c>
      <c r="E35" s="77" t="s">
        <v>142</v>
      </c>
      <c r="F35" s="107" t="s">
        <v>143</v>
      </c>
    </row>
    <row r="36" spans="1:6" ht="19.5" thickBot="1">
      <c r="A36" s="32" t="s">
        <v>22</v>
      </c>
      <c r="B36" s="33" t="s">
        <v>144</v>
      </c>
      <c r="C36" s="37">
        <v>0.128</v>
      </c>
      <c r="E36" s="108" t="s">
        <v>32</v>
      </c>
      <c r="F36" s="109" t="s">
        <v>145</v>
      </c>
    </row>
    <row r="37" spans="1:6">
      <c r="A37" s="32" t="s">
        <v>24</v>
      </c>
      <c r="B37" s="33" t="s">
        <v>146</v>
      </c>
      <c r="C37" s="37">
        <v>6.6E-3</v>
      </c>
    </row>
    <row r="38" spans="1:6">
      <c r="A38" s="32" t="s">
        <v>26</v>
      </c>
      <c r="B38" s="33" t="s">
        <v>106</v>
      </c>
      <c r="C38" s="37">
        <v>5.4000000000000003E-3</v>
      </c>
    </row>
    <row r="39" spans="1:6">
      <c r="A39" s="32" t="s">
        <v>28</v>
      </c>
      <c r="B39" s="33" t="s">
        <v>124</v>
      </c>
      <c r="C39" s="37">
        <v>3.2000000000000002E-3</v>
      </c>
    </row>
    <row r="40" spans="1:6">
      <c r="A40" s="32" t="s">
        <v>30</v>
      </c>
      <c r="B40" s="33" t="s">
        <v>124</v>
      </c>
      <c r="C40" s="37">
        <v>3.2000000000000002E-3</v>
      </c>
    </row>
    <row r="41" spans="1:6">
      <c r="A41" s="32" t="s">
        <v>32</v>
      </c>
      <c r="B41" s="33" t="s">
        <v>27</v>
      </c>
      <c r="C41" s="37">
        <v>5.9999999999999995E-4</v>
      </c>
    </row>
    <row r="42" spans="1:6" ht="39" customHeight="1">
      <c r="A42" s="311" t="s">
        <v>34</v>
      </c>
      <c r="B42" s="312"/>
      <c r="C42" s="313"/>
    </row>
  </sheetData>
  <mergeCells count="16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  <mergeCell ref="A42:C42"/>
    <mergeCell ref="E24:F24"/>
    <mergeCell ref="A25:B25"/>
    <mergeCell ref="A26:B26"/>
    <mergeCell ref="C27:C28"/>
    <mergeCell ref="A29:B2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F5CA-9A2C-474C-A820-D7166D776A94}">
  <dimension ref="A1:C17"/>
  <sheetViews>
    <sheetView workbookViewId="0">
      <selection activeCell="G8" sqref="G8"/>
    </sheetView>
  </sheetViews>
  <sheetFormatPr defaultRowHeight="15"/>
  <cols>
    <col min="1" max="1" width="32.28515625" bestFit="1" customWidth="1"/>
    <col min="2" max="2" width="12.85546875" customWidth="1"/>
    <col min="3" max="3" width="15.85546875" customWidth="1"/>
  </cols>
  <sheetData>
    <row r="1" spans="1:3" ht="34.5" customHeight="1">
      <c r="A1" s="239" t="s">
        <v>147</v>
      </c>
      <c r="B1" s="241"/>
      <c r="C1" s="1"/>
    </row>
    <row r="2" spans="1:3">
      <c r="A2" s="247" t="s">
        <v>4</v>
      </c>
      <c r="B2" s="247"/>
      <c r="C2" s="1"/>
    </row>
    <row r="3" spans="1:3">
      <c r="A3" s="2" t="s">
        <v>6</v>
      </c>
      <c r="B3" s="4" t="s">
        <v>37</v>
      </c>
      <c r="C3" s="11"/>
    </row>
    <row r="4" spans="1:3" ht="30">
      <c r="A4" s="247" t="s">
        <v>38</v>
      </c>
      <c r="B4" s="247"/>
      <c r="C4" s="5" t="s">
        <v>9</v>
      </c>
    </row>
    <row r="5" spans="1:3">
      <c r="A5" s="5" t="s">
        <v>10</v>
      </c>
      <c r="B5" s="2" t="s">
        <v>148</v>
      </c>
      <c r="C5" s="2"/>
    </row>
    <row r="6" spans="1:3">
      <c r="A6" s="2" t="s">
        <v>12</v>
      </c>
      <c r="B6" s="4" t="s">
        <v>100</v>
      </c>
      <c r="C6" s="9">
        <v>6.5000000000000002E-2</v>
      </c>
    </row>
    <row r="7" spans="1:3">
      <c r="A7" s="2" t="s">
        <v>14</v>
      </c>
      <c r="B7" s="4" t="s">
        <v>101</v>
      </c>
      <c r="C7" s="8">
        <v>0.03</v>
      </c>
    </row>
    <row r="8" spans="1:3">
      <c r="A8" s="2" t="s">
        <v>16</v>
      </c>
      <c r="B8" s="4" t="s">
        <v>102</v>
      </c>
      <c r="C8" s="9">
        <v>9.2999999999999999E-2</v>
      </c>
    </row>
    <row r="9" spans="1:3">
      <c r="A9" s="2" t="s">
        <v>18</v>
      </c>
      <c r="B9" s="4" t="s">
        <v>19</v>
      </c>
      <c r="C9" s="8">
        <v>0</v>
      </c>
    </row>
    <row r="10" spans="1:3">
      <c r="A10" s="2" t="s">
        <v>20</v>
      </c>
      <c r="B10" s="4" t="s">
        <v>103</v>
      </c>
      <c r="C10" s="9">
        <v>8.9999999999999993E-3</v>
      </c>
    </row>
    <row r="11" spans="1:3">
      <c r="A11" s="2" t="s">
        <v>22</v>
      </c>
      <c r="B11" s="4" t="s">
        <v>149</v>
      </c>
      <c r="C11" s="9">
        <v>0.183</v>
      </c>
    </row>
    <row r="12" spans="1:3">
      <c r="A12" s="2" t="s">
        <v>24</v>
      </c>
      <c r="B12" s="4" t="s">
        <v>150</v>
      </c>
      <c r="C12" s="9">
        <v>8.0000000000000002E-3</v>
      </c>
    </row>
    <row r="13" spans="1:3">
      <c r="A13" s="2" t="s">
        <v>26</v>
      </c>
      <c r="B13" s="4" t="s">
        <v>106</v>
      </c>
      <c r="C13" s="9">
        <v>5.4999999999999997E-3</v>
      </c>
    </row>
    <row r="14" spans="1:3">
      <c r="A14" s="2" t="s">
        <v>28</v>
      </c>
      <c r="B14" s="4" t="s">
        <v>107</v>
      </c>
      <c r="C14" s="9">
        <v>4.1000000000000003E-3</v>
      </c>
    </row>
    <row r="15" spans="1:3">
      <c r="A15" s="2" t="s">
        <v>30</v>
      </c>
      <c r="B15" s="4" t="s">
        <v>107</v>
      </c>
      <c r="C15" s="9">
        <v>4.1000000000000003E-3</v>
      </c>
    </row>
    <row r="16" spans="1:3">
      <c r="A16" s="2" t="s">
        <v>32</v>
      </c>
      <c r="B16" s="4" t="s">
        <v>108</v>
      </c>
      <c r="C16" s="6">
        <v>2.9999999999999997E-4</v>
      </c>
    </row>
    <row r="17" spans="1:3">
      <c r="A17" s="253" t="s">
        <v>34</v>
      </c>
      <c r="B17" s="254"/>
      <c r="C17" s="255"/>
    </row>
  </sheetData>
  <mergeCells count="4">
    <mergeCell ref="A1:B1"/>
    <mergeCell ref="A2:B2"/>
    <mergeCell ref="A4:B4"/>
    <mergeCell ref="A17:C1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758B-9038-4E82-858C-F06B9D0074AC}">
  <dimension ref="A1:H18"/>
  <sheetViews>
    <sheetView zoomScale="80" zoomScaleNormal="80" workbookViewId="0">
      <selection activeCell="B13" sqref="B13"/>
    </sheetView>
  </sheetViews>
  <sheetFormatPr defaultRowHeight="15"/>
  <cols>
    <col min="1" max="1" width="43.140625" bestFit="1" customWidth="1"/>
    <col min="2" max="2" width="15.140625" customWidth="1"/>
    <col min="3" max="3" width="14.85546875" customWidth="1"/>
    <col min="5" max="5" width="43.140625" bestFit="1" customWidth="1"/>
    <col min="6" max="6" width="7.7109375" bestFit="1" customWidth="1"/>
    <col min="7" max="7" width="15.5703125" customWidth="1"/>
  </cols>
  <sheetData>
    <row r="1" spans="1:8" ht="33" customHeight="1">
      <c r="A1" s="239" t="s">
        <v>151</v>
      </c>
      <c r="B1" s="241"/>
      <c r="C1" s="1"/>
      <c r="E1" s="239" t="s">
        <v>152</v>
      </c>
      <c r="F1" s="241"/>
      <c r="G1" s="1"/>
      <c r="H1" s="12"/>
    </row>
    <row r="2" spans="1:8">
      <c r="A2" s="247" t="s">
        <v>4</v>
      </c>
      <c r="B2" s="247"/>
      <c r="C2" s="1"/>
      <c r="E2" s="247" t="s">
        <v>4</v>
      </c>
      <c r="F2" s="247"/>
      <c r="G2" s="1"/>
      <c r="H2" s="12"/>
    </row>
    <row r="3" spans="1:8">
      <c r="A3" s="2" t="s">
        <v>5</v>
      </c>
      <c r="B3" s="2">
        <v>21</v>
      </c>
      <c r="C3" s="248"/>
      <c r="E3" s="2" t="s">
        <v>5</v>
      </c>
      <c r="F3" s="2">
        <v>10</v>
      </c>
      <c r="G3" s="248"/>
      <c r="H3" s="12"/>
    </row>
    <row r="4" spans="1:8">
      <c r="A4" s="2" t="s">
        <v>6</v>
      </c>
      <c r="B4" s="4" t="s">
        <v>37</v>
      </c>
      <c r="C4" s="249"/>
      <c r="E4" s="2" t="s">
        <v>6</v>
      </c>
      <c r="F4" s="4" t="s">
        <v>37</v>
      </c>
      <c r="G4" s="249"/>
      <c r="H4" s="12"/>
    </row>
    <row r="5" spans="1:8" ht="30">
      <c r="A5" s="247" t="s">
        <v>38</v>
      </c>
      <c r="B5" s="247"/>
      <c r="C5" s="5" t="s">
        <v>9</v>
      </c>
      <c r="E5" s="247" t="s">
        <v>38</v>
      </c>
      <c r="F5" s="247"/>
      <c r="G5" s="5" t="s">
        <v>9</v>
      </c>
      <c r="H5" s="12"/>
    </row>
    <row r="6" spans="1:8">
      <c r="A6" s="5" t="s">
        <v>10</v>
      </c>
      <c r="B6" s="2" t="s">
        <v>153</v>
      </c>
      <c r="C6" s="2"/>
      <c r="E6" s="5" t="s">
        <v>10</v>
      </c>
      <c r="F6" s="2" t="s">
        <v>153</v>
      </c>
      <c r="G6" s="2"/>
      <c r="H6" s="13"/>
    </row>
    <row r="7" spans="1:8">
      <c r="A7" s="2" t="s">
        <v>12</v>
      </c>
      <c r="B7" s="4" t="s">
        <v>154</v>
      </c>
      <c r="C7" s="6">
        <v>8.6499999999999994E-2</v>
      </c>
      <c r="E7" s="2" t="s">
        <v>12</v>
      </c>
      <c r="F7" s="4" t="s">
        <v>154</v>
      </c>
      <c r="G7" s="6">
        <v>8.6499999999999994E-2</v>
      </c>
      <c r="H7" s="13"/>
    </row>
    <row r="8" spans="1:8">
      <c r="A8" s="2" t="s">
        <v>14</v>
      </c>
      <c r="B8" s="4" t="s">
        <v>155</v>
      </c>
      <c r="C8" s="8">
        <v>0.04</v>
      </c>
      <c r="E8" s="2" t="s">
        <v>14</v>
      </c>
      <c r="F8" s="4" t="s">
        <v>155</v>
      </c>
      <c r="G8" s="8">
        <v>0.04</v>
      </c>
      <c r="H8" s="13"/>
    </row>
    <row r="9" spans="1:8">
      <c r="A9" s="2" t="s">
        <v>16</v>
      </c>
      <c r="B9" s="4" t="s">
        <v>156</v>
      </c>
      <c r="C9" s="8">
        <v>0.13</v>
      </c>
      <c r="E9" s="2" t="s">
        <v>16</v>
      </c>
      <c r="F9" s="4" t="s">
        <v>156</v>
      </c>
      <c r="G9" s="8">
        <v>0.13</v>
      </c>
      <c r="H9" s="13"/>
    </row>
    <row r="10" spans="1:8">
      <c r="A10" s="2" t="s">
        <v>18</v>
      </c>
      <c r="B10" s="4" t="s">
        <v>19</v>
      </c>
      <c r="C10" s="8">
        <v>0</v>
      </c>
      <c r="E10" s="2" t="s">
        <v>18</v>
      </c>
      <c r="F10" s="4" t="s">
        <v>19</v>
      </c>
      <c r="G10" s="8">
        <v>0</v>
      </c>
      <c r="H10" s="13"/>
    </row>
    <row r="11" spans="1:8">
      <c r="A11" s="2" t="s">
        <v>20</v>
      </c>
      <c r="B11" s="4" t="s">
        <v>157</v>
      </c>
      <c r="C11" s="8">
        <v>1.7000000000000001E-2</v>
      </c>
      <c r="E11" s="2" t="s">
        <v>20</v>
      </c>
      <c r="F11" s="4" t="s">
        <v>157</v>
      </c>
      <c r="G11" s="8">
        <v>1.7000000000000001E-2</v>
      </c>
      <c r="H11" s="13"/>
    </row>
    <row r="12" spans="1:8">
      <c r="A12" s="2" t="s">
        <v>22</v>
      </c>
      <c r="B12" s="4" t="s">
        <v>158</v>
      </c>
      <c r="C12" s="9">
        <v>0.114</v>
      </c>
      <c r="E12" s="2" t="s">
        <v>22</v>
      </c>
      <c r="F12" s="4" t="s">
        <v>158</v>
      </c>
      <c r="G12" s="9">
        <v>0.114</v>
      </c>
      <c r="H12" s="13"/>
    </row>
    <row r="13" spans="1:8">
      <c r="A13" s="2" t="s">
        <v>24</v>
      </c>
      <c r="B13" s="4" t="s">
        <v>119</v>
      </c>
      <c r="C13" s="9">
        <v>6.0000000000000001E-3</v>
      </c>
      <c r="E13" s="2" t="s">
        <v>24</v>
      </c>
      <c r="F13" s="4" t="s">
        <v>119</v>
      </c>
      <c r="G13" s="9">
        <v>6.0000000000000001E-3</v>
      </c>
      <c r="H13" s="13"/>
    </row>
    <row r="14" spans="1:8">
      <c r="A14" s="2" t="s">
        <v>26</v>
      </c>
      <c r="B14" s="4" t="s">
        <v>159</v>
      </c>
      <c r="C14" s="9">
        <v>5.0000000000000001E-3</v>
      </c>
      <c r="E14" s="2" t="s">
        <v>26</v>
      </c>
      <c r="F14" s="4" t="s">
        <v>159</v>
      </c>
      <c r="G14" s="9">
        <v>5.0000000000000001E-3</v>
      </c>
      <c r="H14" s="13"/>
    </row>
    <row r="15" spans="1:8">
      <c r="A15" s="2" t="s">
        <v>28</v>
      </c>
      <c r="B15" s="4" t="s">
        <v>160</v>
      </c>
      <c r="C15" s="9">
        <v>3.0000000000000001E-3</v>
      </c>
      <c r="E15" s="2" t="s">
        <v>28</v>
      </c>
      <c r="F15" s="4" t="s">
        <v>160</v>
      </c>
      <c r="G15" s="9">
        <v>3.0000000000000001E-3</v>
      </c>
      <c r="H15" s="13"/>
    </row>
    <row r="16" spans="1:8">
      <c r="A16" s="2" t="s">
        <v>30</v>
      </c>
      <c r="B16" s="4" t="s">
        <v>161</v>
      </c>
      <c r="C16" s="9">
        <v>3.0000000000000001E-3</v>
      </c>
      <c r="E16" s="2" t="s">
        <v>30</v>
      </c>
      <c r="F16" s="4" t="s">
        <v>161</v>
      </c>
      <c r="G16" s="9">
        <v>3.0000000000000001E-3</v>
      </c>
      <c r="H16" s="13"/>
    </row>
    <row r="17" spans="1:8">
      <c r="A17" s="2" t="s">
        <v>32</v>
      </c>
      <c r="B17" s="4" t="s">
        <v>162</v>
      </c>
      <c r="C17" s="6">
        <v>5.9999999999999995E-4</v>
      </c>
      <c r="E17" s="2" t="s">
        <v>32</v>
      </c>
      <c r="F17" s="4" t="s">
        <v>162</v>
      </c>
      <c r="G17" s="6">
        <v>5.9999999999999995E-4</v>
      </c>
      <c r="H17" s="13"/>
    </row>
    <row r="18" spans="1:8" ht="32.450000000000003" customHeight="1">
      <c r="A18" s="253" t="s">
        <v>34</v>
      </c>
      <c r="B18" s="254"/>
      <c r="C18" s="255"/>
      <c r="E18" s="253" t="s">
        <v>34</v>
      </c>
      <c r="F18" s="254"/>
      <c r="G18" s="255"/>
      <c r="H18" s="14"/>
    </row>
  </sheetData>
  <mergeCells count="10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13DE-189F-4F44-AC96-CBA7511D27C6}">
  <dimension ref="A1:G18"/>
  <sheetViews>
    <sheetView zoomScale="80" zoomScaleNormal="80" workbookViewId="0">
      <selection sqref="A1:C18"/>
    </sheetView>
  </sheetViews>
  <sheetFormatPr defaultRowHeight="15"/>
  <cols>
    <col min="1" max="1" width="43.140625" bestFit="1" customWidth="1"/>
    <col min="3" max="3" width="14.42578125" customWidth="1"/>
    <col min="5" max="5" width="43.140625" bestFit="1" customWidth="1"/>
    <col min="7" max="7" width="14.28515625" customWidth="1"/>
  </cols>
  <sheetData>
    <row r="1" spans="1:7" ht="18.75">
      <c r="A1" s="239" t="s">
        <v>163</v>
      </c>
      <c r="B1" s="241"/>
      <c r="C1" s="1"/>
      <c r="E1" s="239" t="s">
        <v>164</v>
      </c>
      <c r="F1" s="241"/>
      <c r="G1" s="1"/>
    </row>
    <row r="2" spans="1:7">
      <c r="A2" s="247" t="s">
        <v>4</v>
      </c>
      <c r="B2" s="247"/>
      <c r="C2" s="1"/>
      <c r="E2" s="247" t="s">
        <v>4</v>
      </c>
      <c r="F2" s="247"/>
      <c r="G2" s="1"/>
    </row>
    <row r="3" spans="1:7">
      <c r="A3" s="2" t="s">
        <v>5</v>
      </c>
      <c r="B3" s="2">
        <v>21</v>
      </c>
      <c r="C3" s="248"/>
      <c r="E3" s="2" t="s">
        <v>5</v>
      </c>
      <c r="F3" s="2">
        <v>11</v>
      </c>
      <c r="G3" s="248"/>
    </row>
    <row r="4" spans="1:7">
      <c r="A4" s="2" t="s">
        <v>6</v>
      </c>
      <c r="B4" s="4" t="s">
        <v>37</v>
      </c>
      <c r="C4" s="249"/>
      <c r="E4" s="2" t="s">
        <v>6</v>
      </c>
      <c r="F4" s="4" t="s">
        <v>37</v>
      </c>
      <c r="G4" s="249"/>
    </row>
    <row r="5" spans="1:7" ht="45">
      <c r="A5" s="247" t="s">
        <v>38</v>
      </c>
      <c r="B5" s="247"/>
      <c r="C5" s="5" t="s">
        <v>9</v>
      </c>
      <c r="E5" s="247" t="s">
        <v>38</v>
      </c>
      <c r="F5" s="247"/>
      <c r="G5" s="5" t="s">
        <v>9</v>
      </c>
    </row>
    <row r="6" spans="1:7">
      <c r="A6" s="5" t="s">
        <v>10</v>
      </c>
      <c r="B6" s="2" t="s">
        <v>39</v>
      </c>
      <c r="C6" s="2"/>
      <c r="E6" s="5" t="s">
        <v>10</v>
      </c>
      <c r="F6" s="2" t="s">
        <v>39</v>
      </c>
      <c r="G6" s="2"/>
    </row>
    <row r="7" spans="1:7">
      <c r="A7" s="2" t="s">
        <v>12</v>
      </c>
      <c r="B7" s="4" t="s">
        <v>40</v>
      </c>
      <c r="C7" s="7">
        <v>4.2999999999999999E-4</v>
      </c>
      <c r="E7" s="2" t="s">
        <v>12</v>
      </c>
      <c r="F7" s="4" t="s">
        <v>40</v>
      </c>
      <c r="G7" s="7">
        <v>4.2999999999999999E-4</v>
      </c>
    </row>
    <row r="8" spans="1:7">
      <c r="A8" s="2" t="s">
        <v>14</v>
      </c>
      <c r="B8" s="4" t="s">
        <v>41</v>
      </c>
      <c r="C8" s="10">
        <v>6.6000000000000005E-5</v>
      </c>
      <c r="E8" s="2" t="s">
        <v>14</v>
      </c>
      <c r="F8" s="4" t="s">
        <v>41</v>
      </c>
      <c r="G8" s="10">
        <v>6.6000000000000005E-5</v>
      </c>
    </row>
    <row r="9" spans="1:7">
      <c r="A9" s="2" t="s">
        <v>16</v>
      </c>
      <c r="B9" s="4" t="s">
        <v>42</v>
      </c>
      <c r="C9" s="6">
        <v>2.0000000000000001E-4</v>
      </c>
      <c r="E9" s="2" t="s">
        <v>16</v>
      </c>
      <c r="F9" s="4" t="s">
        <v>42</v>
      </c>
      <c r="G9" s="6">
        <v>2.0000000000000001E-4</v>
      </c>
    </row>
    <row r="10" spans="1:7">
      <c r="A10" s="2" t="s">
        <v>18</v>
      </c>
      <c r="B10" s="4" t="s">
        <v>19</v>
      </c>
      <c r="C10" s="8">
        <v>0</v>
      </c>
      <c r="E10" s="2" t="s">
        <v>18</v>
      </c>
      <c r="F10" s="4" t="s">
        <v>19</v>
      </c>
      <c r="G10" s="8">
        <v>0</v>
      </c>
    </row>
    <row r="11" spans="1:7">
      <c r="A11" s="2" t="s">
        <v>20</v>
      </c>
      <c r="B11" s="4" t="s">
        <v>43</v>
      </c>
      <c r="C11" s="9">
        <v>6.6E-3</v>
      </c>
      <c r="E11" s="2" t="s">
        <v>20</v>
      </c>
      <c r="F11" s="4" t="s">
        <v>43</v>
      </c>
      <c r="G11" s="9">
        <v>6.6E-3</v>
      </c>
    </row>
    <row r="12" spans="1:7">
      <c r="A12" s="2" t="s">
        <v>22</v>
      </c>
      <c r="B12" s="4" t="s">
        <v>44</v>
      </c>
      <c r="C12" s="8">
        <v>0.08</v>
      </c>
      <c r="E12" s="2" t="s">
        <v>22</v>
      </c>
      <c r="F12" s="4" t="s">
        <v>44</v>
      </c>
      <c r="G12" s="8">
        <v>0.08</v>
      </c>
    </row>
    <row r="13" spans="1:7">
      <c r="A13" s="2" t="s">
        <v>24</v>
      </c>
      <c r="B13" s="4" t="s">
        <v>45</v>
      </c>
      <c r="C13" s="6">
        <v>2.0799999999999999E-2</v>
      </c>
      <c r="E13" s="2" t="s">
        <v>24</v>
      </c>
      <c r="F13" s="4" t="s">
        <v>45</v>
      </c>
      <c r="G13" s="6">
        <v>2.0799999999999999E-2</v>
      </c>
    </row>
    <row r="14" spans="1:7">
      <c r="A14" s="2" t="s">
        <v>26</v>
      </c>
      <c r="B14" s="4" t="s">
        <v>46</v>
      </c>
      <c r="C14" s="6">
        <v>4.7000000000000002E-3</v>
      </c>
      <c r="E14" s="2" t="s">
        <v>26</v>
      </c>
      <c r="F14" s="4" t="s">
        <v>46</v>
      </c>
      <c r="G14" s="6">
        <v>4.7000000000000002E-3</v>
      </c>
    </row>
    <row r="15" spans="1:7">
      <c r="A15" s="2" t="s">
        <v>28</v>
      </c>
      <c r="B15" s="4" t="s">
        <v>47</v>
      </c>
      <c r="C15" s="8">
        <v>0.09</v>
      </c>
      <c r="E15" s="2" t="s">
        <v>28</v>
      </c>
      <c r="F15" s="4" t="s">
        <v>47</v>
      </c>
      <c r="G15" s="8">
        <v>0.09</v>
      </c>
    </row>
    <row r="16" spans="1:7">
      <c r="A16" s="2" t="s">
        <v>30</v>
      </c>
      <c r="B16" s="4" t="s">
        <v>48</v>
      </c>
      <c r="C16" s="8">
        <v>0.08</v>
      </c>
      <c r="E16" s="2" t="s">
        <v>30</v>
      </c>
      <c r="F16" s="4" t="s">
        <v>48</v>
      </c>
      <c r="G16" s="8">
        <v>0.08</v>
      </c>
    </row>
    <row r="17" spans="1:7">
      <c r="A17" s="2" t="s">
        <v>32</v>
      </c>
      <c r="B17" s="4" t="s">
        <v>49</v>
      </c>
      <c r="C17" s="7">
        <v>9.6000000000000002E-4</v>
      </c>
      <c r="E17" s="2" t="s">
        <v>32</v>
      </c>
      <c r="F17" s="4" t="s">
        <v>49</v>
      </c>
      <c r="G17" s="7">
        <v>9.6000000000000002E-4</v>
      </c>
    </row>
    <row r="18" spans="1:7">
      <c r="A18" s="253" t="s">
        <v>34</v>
      </c>
      <c r="B18" s="254"/>
      <c r="C18" s="255"/>
      <c r="E18" s="253" t="s">
        <v>34</v>
      </c>
      <c r="F18" s="254"/>
      <c r="G18" s="255"/>
    </row>
  </sheetData>
  <mergeCells count="10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4EDB-9C90-4B87-B2B6-6C3449423E76}">
  <dimension ref="A1:J58"/>
  <sheetViews>
    <sheetView tabSelected="1" topLeftCell="B25" zoomScale="95" zoomScaleNormal="95" workbookViewId="0">
      <selection activeCell="A58" sqref="A58:D58"/>
    </sheetView>
  </sheetViews>
  <sheetFormatPr defaultRowHeight="15"/>
  <cols>
    <col min="1" max="1" width="43.140625" bestFit="1" customWidth="1"/>
    <col min="2" max="2" width="12.7109375" customWidth="1"/>
    <col min="3" max="3" width="11.140625" customWidth="1"/>
    <col min="5" max="5" width="43.140625" bestFit="1" customWidth="1"/>
    <col min="6" max="6" width="15.5703125" customWidth="1"/>
    <col min="7" max="7" width="17.7109375" customWidth="1"/>
    <col min="8" max="8" width="13.140625" customWidth="1"/>
    <col min="9" max="9" width="32.7109375" bestFit="1" customWidth="1"/>
    <col min="10" max="10" width="15.5703125" customWidth="1"/>
  </cols>
  <sheetData>
    <row r="1" spans="1:7" ht="18.75">
      <c r="A1" s="324" t="s">
        <v>165</v>
      </c>
      <c r="B1" s="325"/>
      <c r="C1" s="23"/>
      <c r="D1" s="24"/>
      <c r="E1" s="324" t="s">
        <v>166</v>
      </c>
      <c r="F1" s="325"/>
      <c r="G1" s="23"/>
    </row>
    <row r="2" spans="1:7">
      <c r="A2" s="320" t="s">
        <v>4</v>
      </c>
      <c r="B2" s="320"/>
      <c r="C2" s="23"/>
      <c r="D2" s="24"/>
      <c r="E2" s="320" t="s">
        <v>4</v>
      </c>
      <c r="F2" s="320"/>
      <c r="G2" s="23"/>
    </row>
    <row r="3" spans="1:7">
      <c r="A3" s="25" t="s">
        <v>5</v>
      </c>
      <c r="B3" s="25">
        <v>19</v>
      </c>
      <c r="C3" s="326"/>
      <c r="D3" s="24"/>
      <c r="E3" s="25" t="s">
        <v>5</v>
      </c>
      <c r="F3" s="25">
        <v>10</v>
      </c>
      <c r="G3" s="326"/>
    </row>
    <row r="4" spans="1:7">
      <c r="A4" s="25" t="s">
        <v>6</v>
      </c>
      <c r="B4" s="26" t="s">
        <v>37</v>
      </c>
      <c r="C4" s="327"/>
      <c r="D4" s="24"/>
      <c r="E4" s="25" t="s">
        <v>6</v>
      </c>
      <c r="F4" s="26" t="s">
        <v>37</v>
      </c>
      <c r="G4" s="327"/>
    </row>
    <row r="5" spans="1:7" ht="60">
      <c r="A5" s="320" t="s">
        <v>38</v>
      </c>
      <c r="B5" s="320"/>
      <c r="C5" s="27" t="s">
        <v>9</v>
      </c>
      <c r="D5" s="24"/>
      <c r="E5" s="320" t="s">
        <v>38</v>
      </c>
      <c r="F5" s="320"/>
      <c r="G5" s="27" t="s">
        <v>9</v>
      </c>
    </row>
    <row r="6" spans="1:7">
      <c r="A6" s="27" t="s">
        <v>10</v>
      </c>
      <c r="B6" s="25" t="s">
        <v>167</v>
      </c>
      <c r="C6" s="25"/>
      <c r="D6" s="24"/>
      <c r="E6" s="27" t="s">
        <v>10</v>
      </c>
      <c r="F6" s="25" t="s">
        <v>167</v>
      </c>
      <c r="G6" s="25"/>
    </row>
    <row r="7" spans="1:7">
      <c r="A7" s="25" t="s">
        <v>12</v>
      </c>
      <c r="B7" s="26" t="s">
        <v>168</v>
      </c>
      <c r="C7" s="30">
        <v>9.2999999999999999E-2</v>
      </c>
      <c r="D7" s="24"/>
      <c r="E7" s="25" t="s">
        <v>12</v>
      </c>
      <c r="F7" s="26" t="s">
        <v>168</v>
      </c>
      <c r="G7" s="30">
        <v>9.2999999999999999E-2</v>
      </c>
    </row>
    <row r="8" spans="1:7">
      <c r="A8" s="25" t="s">
        <v>14</v>
      </c>
      <c r="B8" s="26" t="s">
        <v>169</v>
      </c>
      <c r="C8" s="30">
        <v>4.2999999999999997E-2</v>
      </c>
      <c r="D8" s="24"/>
      <c r="E8" s="25" t="s">
        <v>14</v>
      </c>
      <c r="F8" s="26" t="s">
        <v>169</v>
      </c>
      <c r="G8" s="30">
        <v>4.2999999999999997E-2</v>
      </c>
    </row>
    <row r="9" spans="1:7">
      <c r="A9" s="25" t="s">
        <v>16</v>
      </c>
      <c r="B9" s="26" t="s">
        <v>91</v>
      </c>
      <c r="C9" s="29">
        <v>0.14000000000000001</v>
      </c>
      <c r="D9" s="24"/>
      <c r="E9" s="25" t="s">
        <v>16</v>
      </c>
      <c r="F9" s="26" t="s">
        <v>91</v>
      </c>
      <c r="G9" s="29">
        <v>0.14000000000000001</v>
      </c>
    </row>
    <row r="10" spans="1:7">
      <c r="A10" s="25" t="s">
        <v>18</v>
      </c>
      <c r="B10" s="26" t="s">
        <v>19</v>
      </c>
      <c r="C10" s="29">
        <v>0</v>
      </c>
      <c r="D10" s="24"/>
      <c r="E10" s="25" t="s">
        <v>18</v>
      </c>
      <c r="F10" s="26" t="s">
        <v>19</v>
      </c>
      <c r="G10" s="29">
        <v>0</v>
      </c>
    </row>
    <row r="11" spans="1:7">
      <c r="A11" s="25" t="s">
        <v>20</v>
      </c>
      <c r="B11" s="26" t="s">
        <v>92</v>
      </c>
      <c r="C11" s="30">
        <v>2.3E-2</v>
      </c>
      <c r="D11" s="24"/>
      <c r="E11" s="25" t="s">
        <v>20</v>
      </c>
      <c r="F11" s="26" t="s">
        <v>92</v>
      </c>
      <c r="G11" s="30">
        <v>2.3E-2</v>
      </c>
    </row>
    <row r="12" spans="1:7">
      <c r="A12" s="25" t="s">
        <v>22</v>
      </c>
      <c r="B12" s="26" t="s">
        <v>170</v>
      </c>
      <c r="C12" s="30">
        <v>5.6500000000000002E-2</v>
      </c>
      <c r="D12" s="24"/>
      <c r="E12" s="25" t="s">
        <v>22</v>
      </c>
      <c r="F12" s="26" t="s">
        <v>170</v>
      </c>
      <c r="G12" s="30">
        <v>5.6500000000000002E-2</v>
      </c>
    </row>
    <row r="13" spans="1:7">
      <c r="A13" s="25" t="s">
        <v>24</v>
      </c>
      <c r="B13" s="26" t="s">
        <v>171</v>
      </c>
      <c r="C13" s="30">
        <v>7.0000000000000001E-3</v>
      </c>
      <c r="D13" s="24"/>
      <c r="E13" s="25" t="s">
        <v>24</v>
      </c>
      <c r="F13" s="26" t="s">
        <v>171</v>
      </c>
      <c r="G13" s="30">
        <v>7.0000000000000001E-3</v>
      </c>
    </row>
    <row r="14" spans="1:7">
      <c r="A14" s="25" t="s">
        <v>26</v>
      </c>
      <c r="B14" s="26" t="s">
        <v>83</v>
      </c>
      <c r="C14" s="28">
        <v>1.2999999999999999E-3</v>
      </c>
      <c r="D14" s="24"/>
      <c r="E14" s="25" t="s">
        <v>26</v>
      </c>
      <c r="F14" s="26" t="s">
        <v>83</v>
      </c>
      <c r="G14" s="28">
        <v>1.2999999999999999E-3</v>
      </c>
    </row>
    <row r="15" spans="1:7">
      <c r="A15" s="25" t="s">
        <v>28</v>
      </c>
      <c r="B15" s="26" t="s">
        <v>113</v>
      </c>
      <c r="C15" s="28">
        <v>1.3599999999999999E-2</v>
      </c>
      <c r="D15" s="24"/>
      <c r="E15" s="25" t="s">
        <v>28</v>
      </c>
      <c r="F15" s="26" t="s">
        <v>113</v>
      </c>
      <c r="G15" s="28">
        <v>1.3599999999999999E-2</v>
      </c>
    </row>
    <row r="16" spans="1:7">
      <c r="A16" s="25" t="s">
        <v>30</v>
      </c>
      <c r="B16" s="26" t="s">
        <v>113</v>
      </c>
      <c r="C16" s="28">
        <v>1.3599999999999999E-2</v>
      </c>
      <c r="D16" s="24"/>
      <c r="E16" s="25" t="s">
        <v>30</v>
      </c>
      <c r="F16" s="26" t="s">
        <v>113</v>
      </c>
      <c r="G16" s="28">
        <v>1.3599999999999999E-2</v>
      </c>
    </row>
    <row r="17" spans="1:10">
      <c r="A17" s="25" t="s">
        <v>32</v>
      </c>
      <c r="B17" s="26" t="s">
        <v>74</v>
      </c>
      <c r="C17" s="28">
        <v>8.0000000000000004E-4</v>
      </c>
      <c r="D17" s="24"/>
      <c r="E17" s="25" t="s">
        <v>32</v>
      </c>
      <c r="F17" s="26" t="s">
        <v>74</v>
      </c>
      <c r="G17" s="28">
        <v>8.0000000000000004E-4</v>
      </c>
    </row>
    <row r="18" spans="1:10" ht="43.5" customHeight="1">
      <c r="A18" s="321" t="s">
        <v>34</v>
      </c>
      <c r="B18" s="322"/>
      <c r="C18" s="323"/>
      <c r="D18" s="24"/>
      <c r="E18" s="321" t="s">
        <v>34</v>
      </c>
      <c r="F18" s="322"/>
      <c r="G18" s="323"/>
    </row>
    <row r="22" spans="1:10" ht="18.75">
      <c r="A22" s="315"/>
      <c r="B22" s="316"/>
      <c r="C22" s="31"/>
    </row>
    <row r="23" spans="1:10">
      <c r="A23" s="317" t="s">
        <v>4</v>
      </c>
      <c r="B23" s="317"/>
      <c r="C23" s="31"/>
      <c r="I23" s="338" t="s">
        <v>4</v>
      </c>
      <c r="J23" s="338"/>
    </row>
    <row r="24" spans="1:10">
      <c r="A24" s="32" t="s">
        <v>5</v>
      </c>
      <c r="B24" s="32">
        <v>16</v>
      </c>
      <c r="C24" s="318"/>
      <c r="I24" s="339" t="s">
        <v>132</v>
      </c>
      <c r="J24" s="340"/>
    </row>
    <row r="25" spans="1:10">
      <c r="A25" s="32" t="s">
        <v>6</v>
      </c>
      <c r="B25" s="33" t="s">
        <v>37</v>
      </c>
      <c r="C25" s="319"/>
      <c r="I25" s="21" t="s">
        <v>10</v>
      </c>
      <c r="J25" s="20" t="s">
        <v>172</v>
      </c>
    </row>
    <row r="26" spans="1:10" ht="60">
      <c r="A26" s="317" t="s">
        <v>38</v>
      </c>
      <c r="B26" s="317"/>
      <c r="C26" s="34" t="s">
        <v>9</v>
      </c>
      <c r="E26" s="38" t="s">
        <v>387</v>
      </c>
      <c r="F26" s="38" t="s">
        <v>389</v>
      </c>
      <c r="I26" s="20" t="s">
        <v>12</v>
      </c>
      <c r="J26" s="22" t="s">
        <v>173</v>
      </c>
    </row>
    <row r="27" spans="1:10">
      <c r="A27" s="34" t="s">
        <v>10</v>
      </c>
      <c r="B27" s="32" t="s">
        <v>174</v>
      </c>
      <c r="C27" s="32"/>
      <c r="D27" s="15">
        <v>70.400000000000006</v>
      </c>
      <c r="E27">
        <f t="shared" ref="E27:E38" si="0">SUM(D27/20)</f>
        <v>3.5200000000000005</v>
      </c>
      <c r="F27">
        <f>SUM(E27*9)</f>
        <v>31.680000000000003</v>
      </c>
      <c r="I27" s="20" t="s">
        <v>14</v>
      </c>
      <c r="J27" s="22" t="s">
        <v>175</v>
      </c>
    </row>
    <row r="28" spans="1:10">
      <c r="A28" s="32" t="s">
        <v>12</v>
      </c>
      <c r="B28" s="33" t="s">
        <v>176</v>
      </c>
      <c r="C28" s="35">
        <v>0.126</v>
      </c>
      <c r="D28" s="16">
        <v>7</v>
      </c>
      <c r="E28">
        <f t="shared" si="0"/>
        <v>0.35</v>
      </c>
      <c r="F28">
        <f t="shared" ref="F28:F38" si="1">SUM(E28*9)</f>
        <v>3.15</v>
      </c>
      <c r="G28" s="162">
        <f t="shared" ref="G28:G38" si="2">SUM(C28/20)</f>
        <v>6.3E-3</v>
      </c>
      <c r="H28" s="162">
        <f>SUM(G28*9)</f>
        <v>5.67E-2</v>
      </c>
      <c r="I28" s="20" t="s">
        <v>16</v>
      </c>
      <c r="J28" s="22" t="s">
        <v>177</v>
      </c>
    </row>
    <row r="29" spans="1:10">
      <c r="A29" s="32" t="s">
        <v>14</v>
      </c>
      <c r="B29" s="33" t="s">
        <v>178</v>
      </c>
      <c r="C29" s="36">
        <v>0.06</v>
      </c>
      <c r="D29" s="16">
        <v>1.2</v>
      </c>
      <c r="E29">
        <f t="shared" si="0"/>
        <v>0.06</v>
      </c>
      <c r="F29">
        <f t="shared" si="1"/>
        <v>0.54</v>
      </c>
      <c r="G29" s="162">
        <f t="shared" si="2"/>
        <v>3.0000000000000001E-3</v>
      </c>
      <c r="H29" s="162">
        <f t="shared" ref="H29:H38" si="3">SUM(G29*9)</f>
        <v>2.7E-2</v>
      </c>
      <c r="I29" s="20" t="s">
        <v>18</v>
      </c>
      <c r="J29" s="22" t="s">
        <v>19</v>
      </c>
    </row>
    <row r="30" spans="1:10">
      <c r="A30" s="32" t="s">
        <v>16</v>
      </c>
      <c r="B30" s="33" t="s">
        <v>179</v>
      </c>
      <c r="C30" s="36">
        <v>0.19</v>
      </c>
      <c r="D30" s="16">
        <v>5.7</v>
      </c>
      <c r="E30">
        <f t="shared" si="0"/>
        <v>0.28500000000000003</v>
      </c>
      <c r="F30">
        <f t="shared" si="1"/>
        <v>2.5650000000000004</v>
      </c>
      <c r="G30" s="162">
        <f t="shared" si="2"/>
        <v>9.4999999999999998E-3</v>
      </c>
      <c r="H30" s="162">
        <f t="shared" si="3"/>
        <v>8.5499999999999993E-2</v>
      </c>
      <c r="I30" s="20" t="s">
        <v>20</v>
      </c>
      <c r="J30" s="22" t="s">
        <v>180</v>
      </c>
    </row>
    <row r="31" spans="1:10">
      <c r="A31" s="32" t="s">
        <v>18</v>
      </c>
      <c r="B31" s="33" t="s">
        <v>19</v>
      </c>
      <c r="C31" s="36">
        <v>0</v>
      </c>
      <c r="D31" s="16">
        <v>0</v>
      </c>
      <c r="E31">
        <f t="shared" si="0"/>
        <v>0</v>
      </c>
      <c r="F31">
        <f t="shared" si="1"/>
        <v>0</v>
      </c>
      <c r="G31" s="162">
        <f t="shared" si="2"/>
        <v>0</v>
      </c>
      <c r="H31" s="164">
        <f t="shared" si="3"/>
        <v>0</v>
      </c>
      <c r="I31" s="20" t="s">
        <v>22</v>
      </c>
      <c r="J31" s="22" t="s">
        <v>181</v>
      </c>
    </row>
    <row r="32" spans="1:10">
      <c r="A32" s="32" t="s">
        <v>20</v>
      </c>
      <c r="B32" s="33" t="s">
        <v>92</v>
      </c>
      <c r="C32" s="35">
        <v>2.3E-2</v>
      </c>
      <c r="D32" s="16">
        <v>7</v>
      </c>
      <c r="E32">
        <f t="shared" si="0"/>
        <v>0.35</v>
      </c>
      <c r="F32">
        <f t="shared" si="1"/>
        <v>3.15</v>
      </c>
      <c r="G32" s="162">
        <f t="shared" si="2"/>
        <v>1.15E-3</v>
      </c>
      <c r="H32" s="162">
        <f t="shared" si="3"/>
        <v>1.035E-2</v>
      </c>
      <c r="I32" s="20" t="s">
        <v>24</v>
      </c>
      <c r="J32" s="22" t="s">
        <v>182</v>
      </c>
    </row>
    <row r="33" spans="1:10">
      <c r="A33" s="32" t="s">
        <v>22</v>
      </c>
      <c r="B33" s="33" t="s">
        <v>183</v>
      </c>
      <c r="C33" s="35">
        <v>6.4000000000000001E-2</v>
      </c>
      <c r="D33" s="16">
        <v>128</v>
      </c>
      <c r="E33">
        <f t="shared" si="0"/>
        <v>6.4</v>
      </c>
      <c r="F33">
        <f t="shared" si="1"/>
        <v>57.6</v>
      </c>
      <c r="G33" s="162">
        <f t="shared" si="2"/>
        <v>3.2000000000000002E-3</v>
      </c>
      <c r="H33" s="162">
        <f t="shared" si="3"/>
        <v>2.8800000000000003E-2</v>
      </c>
      <c r="I33" s="20" t="s">
        <v>26</v>
      </c>
      <c r="J33" s="22" t="s">
        <v>184</v>
      </c>
    </row>
    <row r="34" spans="1:10">
      <c r="A34" s="32" t="s">
        <v>24</v>
      </c>
      <c r="B34" s="33" t="s">
        <v>171</v>
      </c>
      <c r="C34" s="35">
        <v>7.0000000000000001E-3</v>
      </c>
      <c r="D34" s="16">
        <v>1.74</v>
      </c>
      <c r="E34">
        <f t="shared" si="0"/>
        <v>8.6999999999999994E-2</v>
      </c>
      <c r="F34">
        <f t="shared" si="1"/>
        <v>0.78299999999999992</v>
      </c>
      <c r="G34" s="162">
        <f t="shared" si="2"/>
        <v>3.5E-4</v>
      </c>
      <c r="H34" s="162">
        <f t="shared" si="3"/>
        <v>3.15E-3</v>
      </c>
      <c r="I34" s="20" t="s">
        <v>28</v>
      </c>
      <c r="J34" s="22" t="s">
        <v>185</v>
      </c>
    </row>
    <row r="35" spans="1:10">
      <c r="A35" s="32" t="s">
        <v>26</v>
      </c>
      <c r="B35" s="33" t="s">
        <v>159</v>
      </c>
      <c r="C35" s="37">
        <v>2.5000000000000001E-3</v>
      </c>
      <c r="D35" s="16">
        <v>0.09</v>
      </c>
      <c r="E35">
        <f t="shared" si="0"/>
        <v>4.4999999999999997E-3</v>
      </c>
      <c r="F35">
        <f t="shared" si="1"/>
        <v>4.0499999999999994E-2</v>
      </c>
      <c r="G35" s="162">
        <f t="shared" si="2"/>
        <v>1.25E-4</v>
      </c>
      <c r="H35" s="162">
        <f t="shared" si="3"/>
        <v>1.1250000000000001E-3</v>
      </c>
      <c r="I35" s="20" t="s">
        <v>142</v>
      </c>
      <c r="J35" s="22" t="s">
        <v>186</v>
      </c>
    </row>
    <row r="36" spans="1:10">
      <c r="A36" s="32" t="s">
        <v>28</v>
      </c>
      <c r="B36" s="33" t="s">
        <v>187</v>
      </c>
      <c r="C36" s="37">
        <v>3.5000000000000001E-3</v>
      </c>
      <c r="D36" s="16">
        <v>0.87</v>
      </c>
      <c r="E36">
        <f t="shared" si="0"/>
        <v>4.3499999999999997E-2</v>
      </c>
      <c r="F36">
        <f t="shared" si="1"/>
        <v>0.39149999999999996</v>
      </c>
      <c r="G36" s="162">
        <f t="shared" si="2"/>
        <v>1.75E-4</v>
      </c>
      <c r="H36" s="162">
        <f t="shared" si="3"/>
        <v>1.575E-3</v>
      </c>
      <c r="I36" s="20" t="s">
        <v>32</v>
      </c>
      <c r="J36" s="22" t="s">
        <v>101</v>
      </c>
    </row>
    <row r="37" spans="1:10">
      <c r="A37" s="32" t="s">
        <v>30</v>
      </c>
      <c r="B37" s="33" t="s">
        <v>188</v>
      </c>
      <c r="C37" s="37">
        <v>3.5000000000000001E-3</v>
      </c>
      <c r="D37" s="16">
        <v>0.84</v>
      </c>
      <c r="E37">
        <f t="shared" si="0"/>
        <v>4.1999999999999996E-2</v>
      </c>
      <c r="F37">
        <f t="shared" si="1"/>
        <v>0.37799999999999995</v>
      </c>
      <c r="G37" s="162">
        <f t="shared" si="2"/>
        <v>1.75E-4</v>
      </c>
      <c r="H37" s="162">
        <f t="shared" si="3"/>
        <v>1.575E-3</v>
      </c>
    </row>
    <row r="38" spans="1:10">
      <c r="A38" s="32" t="s">
        <v>32</v>
      </c>
      <c r="B38" s="33" t="s">
        <v>49</v>
      </c>
      <c r="C38" s="37">
        <v>1E-3</v>
      </c>
      <c r="D38" s="16">
        <v>0.12</v>
      </c>
      <c r="E38">
        <f t="shared" si="0"/>
        <v>6.0000000000000001E-3</v>
      </c>
      <c r="F38">
        <f t="shared" si="1"/>
        <v>5.3999999999999999E-2</v>
      </c>
      <c r="G38" s="162">
        <f t="shared" si="2"/>
        <v>5.0000000000000002E-5</v>
      </c>
      <c r="H38" s="162">
        <f t="shared" si="3"/>
        <v>4.5000000000000004E-4</v>
      </c>
    </row>
    <row r="39" spans="1:10" ht="44.1" customHeight="1">
      <c r="A39" s="311" t="s">
        <v>34</v>
      </c>
      <c r="B39" s="312"/>
      <c r="C39" s="313"/>
    </row>
    <row r="41" spans="1:10" ht="15.75" thickBot="1"/>
    <row r="42" spans="1:10">
      <c r="A42" s="328" t="s">
        <v>4</v>
      </c>
      <c r="B42" s="329"/>
      <c r="C42" s="190"/>
      <c r="D42" s="185"/>
    </row>
    <row r="43" spans="1:10" ht="34.5" customHeight="1">
      <c r="A43" s="336" t="s">
        <v>390</v>
      </c>
      <c r="B43" s="337"/>
      <c r="C43" s="330"/>
      <c r="D43" s="40"/>
    </row>
    <row r="44" spans="1:10">
      <c r="A44" s="15" t="s">
        <v>6</v>
      </c>
      <c r="B44" s="16" t="s">
        <v>7</v>
      </c>
      <c r="C44" s="330"/>
      <c r="D44" s="40"/>
    </row>
    <row r="45" spans="1:10" ht="36">
      <c r="A45" s="331" t="s">
        <v>38</v>
      </c>
      <c r="B45" s="332"/>
      <c r="C45" s="189" t="s">
        <v>9</v>
      </c>
      <c r="D45" s="187"/>
    </row>
    <row r="46" spans="1:10">
      <c r="A46" s="188" t="s">
        <v>10</v>
      </c>
      <c r="B46" s="15">
        <v>31.68</v>
      </c>
      <c r="C46" s="39" t="s">
        <v>381</v>
      </c>
      <c r="D46" s="138"/>
    </row>
    <row r="47" spans="1:10">
      <c r="A47" s="186" t="s">
        <v>12</v>
      </c>
      <c r="B47" s="16">
        <v>3.15</v>
      </c>
      <c r="C47" s="39" t="s">
        <v>382</v>
      </c>
      <c r="D47" s="139">
        <v>5.67E-2</v>
      </c>
    </row>
    <row r="48" spans="1:10">
      <c r="A48" s="186" t="s">
        <v>14</v>
      </c>
      <c r="B48" s="16">
        <v>0.54</v>
      </c>
      <c r="C48" s="39" t="s">
        <v>382</v>
      </c>
      <c r="D48" s="141">
        <v>2.7E-2</v>
      </c>
    </row>
    <row r="49" spans="1:4">
      <c r="A49" s="186" t="s">
        <v>16</v>
      </c>
      <c r="B49" s="196">
        <v>2.5650000000000004</v>
      </c>
      <c r="C49" s="39" t="s">
        <v>382</v>
      </c>
      <c r="D49" s="141">
        <v>8.5499999999999993E-2</v>
      </c>
    </row>
    <row r="50" spans="1:4">
      <c r="A50" s="186" t="s">
        <v>18</v>
      </c>
      <c r="B50" s="16">
        <v>0</v>
      </c>
      <c r="C50" s="39" t="s">
        <v>382</v>
      </c>
      <c r="D50" s="141">
        <v>0</v>
      </c>
    </row>
    <row r="51" spans="1:4">
      <c r="A51" s="186" t="s">
        <v>20</v>
      </c>
      <c r="B51" s="16">
        <v>3.15</v>
      </c>
      <c r="C51" s="39" t="s">
        <v>383</v>
      </c>
      <c r="D51" s="141">
        <v>1.035E-2</v>
      </c>
    </row>
    <row r="52" spans="1:4">
      <c r="A52" s="186" t="s">
        <v>22</v>
      </c>
      <c r="B52" s="16">
        <v>57.6</v>
      </c>
      <c r="C52" s="39" t="s">
        <v>383</v>
      </c>
      <c r="D52" s="139">
        <v>2.8800000000000003E-2</v>
      </c>
    </row>
    <row r="53" spans="1:4">
      <c r="A53" s="186" t="s">
        <v>24</v>
      </c>
      <c r="B53" s="196">
        <v>0.78299999999999992</v>
      </c>
      <c r="C53" s="39" t="s">
        <v>382</v>
      </c>
      <c r="D53" s="139">
        <v>3.15E-3</v>
      </c>
    </row>
    <row r="54" spans="1:4">
      <c r="A54" s="186" t="s">
        <v>26</v>
      </c>
      <c r="B54" s="195">
        <v>4.0499999999999994E-2</v>
      </c>
      <c r="C54" s="39" t="s">
        <v>382</v>
      </c>
      <c r="D54" s="139">
        <v>1.1250000000000001E-3</v>
      </c>
    </row>
    <row r="55" spans="1:4">
      <c r="A55" s="186" t="s">
        <v>28</v>
      </c>
      <c r="B55" s="195">
        <v>0.39149999999999996</v>
      </c>
      <c r="C55" s="39" t="s">
        <v>382</v>
      </c>
      <c r="D55" s="140">
        <v>1.575E-3</v>
      </c>
    </row>
    <row r="56" spans="1:4">
      <c r="A56" s="186" t="s">
        <v>30</v>
      </c>
      <c r="B56" s="195">
        <v>0.37799999999999995</v>
      </c>
      <c r="C56" s="39" t="s">
        <v>382</v>
      </c>
      <c r="D56" s="140">
        <v>1.575E-3</v>
      </c>
    </row>
    <row r="57" spans="1:4">
      <c r="A57" s="186" t="s">
        <v>32</v>
      </c>
      <c r="B57" s="195">
        <v>5.3999999999999999E-2</v>
      </c>
      <c r="C57" s="39" t="s">
        <v>382</v>
      </c>
      <c r="D57" s="140">
        <v>4.5000000000000004E-4</v>
      </c>
    </row>
    <row r="58" spans="1:4" ht="27" customHeight="1" thickBot="1">
      <c r="A58" s="333" t="s">
        <v>34</v>
      </c>
      <c r="B58" s="334"/>
      <c r="C58" s="334"/>
      <c r="D58" s="335"/>
    </row>
  </sheetData>
  <mergeCells count="22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  <mergeCell ref="A26:B26"/>
    <mergeCell ref="A39:C39"/>
    <mergeCell ref="I23:J23"/>
    <mergeCell ref="I24:J24"/>
    <mergeCell ref="A22:B22"/>
    <mergeCell ref="A23:B23"/>
    <mergeCell ref="C24:C25"/>
    <mergeCell ref="A42:B42"/>
    <mergeCell ref="C43:C44"/>
    <mergeCell ref="A45:B45"/>
    <mergeCell ref="A58:D58"/>
    <mergeCell ref="A43:B4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FEC9-E271-494A-BF6E-5074489BCA91}">
  <dimension ref="A1:G18"/>
  <sheetViews>
    <sheetView topLeftCell="B1" zoomScale="70" zoomScaleNormal="70" workbookViewId="0">
      <selection activeCell="A12" sqref="A12"/>
    </sheetView>
  </sheetViews>
  <sheetFormatPr defaultRowHeight="15"/>
  <cols>
    <col min="1" max="1" width="43.140625" bestFit="1" customWidth="1"/>
    <col min="2" max="2" width="12" customWidth="1"/>
    <col min="3" max="3" width="15.42578125" customWidth="1"/>
    <col min="5" max="5" width="43.140625" bestFit="1" customWidth="1"/>
    <col min="7" max="7" width="16.42578125" customWidth="1"/>
    <col min="9" max="9" width="11.85546875" customWidth="1"/>
    <col min="10" max="10" width="13.42578125" customWidth="1"/>
  </cols>
  <sheetData>
    <row r="1" spans="1:7" ht="18.75">
      <c r="A1" s="292" t="s">
        <v>189</v>
      </c>
      <c r="B1" s="293"/>
      <c r="C1" s="66"/>
      <c r="E1" s="239" t="s">
        <v>190</v>
      </c>
      <c r="F1" s="241"/>
      <c r="G1" s="1"/>
    </row>
    <row r="2" spans="1:7">
      <c r="A2" s="273" t="s">
        <v>4</v>
      </c>
      <c r="B2" s="247"/>
      <c r="C2" s="68"/>
      <c r="E2" s="247" t="s">
        <v>4</v>
      </c>
      <c r="F2" s="247"/>
      <c r="G2" s="1"/>
    </row>
    <row r="3" spans="1:7">
      <c r="A3" s="67" t="s">
        <v>5</v>
      </c>
      <c r="B3" s="2">
        <v>22</v>
      </c>
      <c r="C3" s="309"/>
      <c r="E3" s="2" t="s">
        <v>5</v>
      </c>
      <c r="F3" s="2">
        <v>11</v>
      </c>
      <c r="G3" s="248"/>
    </row>
    <row r="4" spans="1:7">
      <c r="A4" s="67" t="s">
        <v>6</v>
      </c>
      <c r="B4" s="4" t="s">
        <v>37</v>
      </c>
      <c r="C4" s="310"/>
      <c r="E4" s="2" t="s">
        <v>6</v>
      </c>
      <c r="F4" s="4" t="s">
        <v>37</v>
      </c>
      <c r="G4" s="249"/>
    </row>
    <row r="5" spans="1:7" ht="30">
      <c r="A5" s="273" t="s">
        <v>38</v>
      </c>
      <c r="B5" s="247"/>
      <c r="C5" s="69" t="s">
        <v>9</v>
      </c>
      <c r="E5" s="247" t="s">
        <v>38</v>
      </c>
      <c r="F5" s="247"/>
      <c r="G5" s="5" t="s">
        <v>9</v>
      </c>
    </row>
    <row r="6" spans="1:7">
      <c r="A6" s="70" t="s">
        <v>10</v>
      </c>
      <c r="B6" s="2" t="s">
        <v>191</v>
      </c>
      <c r="C6" s="71"/>
      <c r="E6" s="5" t="s">
        <v>10</v>
      </c>
      <c r="F6" s="2" t="s">
        <v>191</v>
      </c>
      <c r="G6" s="2"/>
    </row>
    <row r="7" spans="1:7">
      <c r="A7" s="67" t="s">
        <v>12</v>
      </c>
      <c r="B7" s="4" t="s">
        <v>19</v>
      </c>
      <c r="C7" s="72">
        <v>0</v>
      </c>
      <c r="E7" s="2" t="s">
        <v>12</v>
      </c>
      <c r="F7" s="4" t="s">
        <v>19</v>
      </c>
      <c r="G7" s="8">
        <v>0</v>
      </c>
    </row>
    <row r="8" spans="1:7">
      <c r="A8" s="67" t="s">
        <v>14</v>
      </c>
      <c r="B8" s="4" t="s">
        <v>54</v>
      </c>
      <c r="C8" s="72">
        <v>0</v>
      </c>
      <c r="E8" s="2" t="s">
        <v>14</v>
      </c>
      <c r="F8" s="4" t="s">
        <v>54</v>
      </c>
      <c r="G8" s="8">
        <v>0</v>
      </c>
    </row>
    <row r="9" spans="1:7">
      <c r="A9" s="67" t="s">
        <v>16</v>
      </c>
      <c r="B9" s="4" t="s">
        <v>54</v>
      </c>
      <c r="C9" s="72">
        <v>0</v>
      </c>
      <c r="E9" s="2" t="s">
        <v>16</v>
      </c>
      <c r="F9" s="4" t="s">
        <v>54</v>
      </c>
      <c r="G9" s="8">
        <v>0</v>
      </c>
    </row>
    <row r="10" spans="1:7">
      <c r="A10" s="67" t="s">
        <v>18</v>
      </c>
      <c r="B10" s="4" t="s">
        <v>19</v>
      </c>
      <c r="C10" s="72">
        <v>0</v>
      </c>
      <c r="E10" s="2" t="s">
        <v>18</v>
      </c>
      <c r="F10" s="4" t="s">
        <v>19</v>
      </c>
      <c r="G10" s="8">
        <v>0</v>
      </c>
    </row>
    <row r="11" spans="1:7">
      <c r="A11" s="67" t="s">
        <v>20</v>
      </c>
      <c r="B11" s="4" t="s">
        <v>55</v>
      </c>
      <c r="C11" s="72">
        <v>0</v>
      </c>
      <c r="E11" s="2" t="s">
        <v>20</v>
      </c>
      <c r="F11" s="4" t="s">
        <v>55</v>
      </c>
      <c r="G11" s="8">
        <v>0</v>
      </c>
    </row>
    <row r="12" spans="1:7">
      <c r="A12" s="67" t="s">
        <v>22</v>
      </c>
      <c r="B12" s="4" t="s">
        <v>192</v>
      </c>
      <c r="C12" s="123">
        <v>9.1999999999999998E-2</v>
      </c>
      <c r="E12" s="2" t="s">
        <v>22</v>
      </c>
      <c r="F12" s="4" t="s">
        <v>192</v>
      </c>
      <c r="G12" s="9">
        <v>9.1999999999999998E-2</v>
      </c>
    </row>
    <row r="13" spans="1:7">
      <c r="A13" s="67" t="s">
        <v>24</v>
      </c>
      <c r="B13" s="4" t="s">
        <v>193</v>
      </c>
      <c r="C13" s="73">
        <v>2.3199999999999998E-2</v>
      </c>
      <c r="E13" s="2" t="s">
        <v>24</v>
      </c>
      <c r="F13" s="4" t="s">
        <v>193</v>
      </c>
      <c r="G13" s="6">
        <v>2.3199999999999998E-2</v>
      </c>
    </row>
    <row r="14" spans="1:7">
      <c r="A14" s="67" t="s">
        <v>26</v>
      </c>
      <c r="B14" s="4" t="s">
        <v>83</v>
      </c>
      <c r="C14" s="73">
        <v>1.4E-3</v>
      </c>
      <c r="E14" s="2" t="s">
        <v>26</v>
      </c>
      <c r="F14" s="4" t="s">
        <v>83</v>
      </c>
      <c r="G14" s="6">
        <v>1.4E-3</v>
      </c>
    </row>
    <row r="15" spans="1:7">
      <c r="A15" s="67" t="s">
        <v>28</v>
      </c>
      <c r="B15" s="4" t="s">
        <v>194</v>
      </c>
      <c r="C15" s="73">
        <v>2.0400000000000001E-2</v>
      </c>
      <c r="E15" s="2" t="s">
        <v>28</v>
      </c>
      <c r="F15" s="4" t="s">
        <v>194</v>
      </c>
      <c r="G15" s="6">
        <v>2.0400000000000001E-2</v>
      </c>
    </row>
    <row r="16" spans="1:7">
      <c r="A16" s="67" t="s">
        <v>30</v>
      </c>
      <c r="B16" s="4" t="s">
        <v>195</v>
      </c>
      <c r="C16" s="72">
        <v>0.02</v>
      </c>
      <c r="E16" s="2" t="s">
        <v>30</v>
      </c>
      <c r="F16" s="4" t="s">
        <v>195</v>
      </c>
      <c r="G16" s="8">
        <v>0.02</v>
      </c>
    </row>
    <row r="17" spans="1:7">
      <c r="A17" s="67" t="s">
        <v>32</v>
      </c>
      <c r="B17" s="4" t="s">
        <v>196</v>
      </c>
      <c r="C17" s="73">
        <v>2.0000000000000001E-4</v>
      </c>
      <c r="E17" s="2" t="s">
        <v>32</v>
      </c>
      <c r="F17" s="4" t="s">
        <v>196</v>
      </c>
      <c r="G17" s="6">
        <v>2.0000000000000001E-4</v>
      </c>
    </row>
    <row r="18" spans="1:7" ht="29.45" customHeight="1" thickBot="1">
      <c r="A18" s="306" t="s">
        <v>34</v>
      </c>
      <c r="B18" s="307"/>
      <c r="C18" s="308"/>
      <c r="E18" s="253" t="s">
        <v>34</v>
      </c>
      <c r="F18" s="254"/>
      <c r="G18" s="255"/>
    </row>
  </sheetData>
  <mergeCells count="10">
    <mergeCell ref="G3:G4"/>
    <mergeCell ref="A5:B5"/>
    <mergeCell ref="E5:F5"/>
    <mergeCell ref="A18:C18"/>
    <mergeCell ref="E18:G18"/>
    <mergeCell ref="A1:B1"/>
    <mergeCell ref="E1:F1"/>
    <mergeCell ref="A2:B2"/>
    <mergeCell ref="E2:F2"/>
    <mergeCell ref="C3:C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99B6-5F8E-4E42-8590-8C43B91196DF}">
  <dimension ref="A1:G18"/>
  <sheetViews>
    <sheetView topLeftCell="E5" zoomScale="70" zoomScaleNormal="70" workbookViewId="0">
      <selection activeCell="A5" sqref="A5:B5"/>
    </sheetView>
  </sheetViews>
  <sheetFormatPr defaultRowHeight="15"/>
  <cols>
    <col min="1" max="1" width="59.7109375" customWidth="1"/>
    <col min="2" max="2" width="18.85546875" customWidth="1"/>
    <col min="3" max="3" width="15.42578125" customWidth="1"/>
    <col min="5" max="5" width="43.140625" bestFit="1" customWidth="1"/>
    <col min="7" max="7" width="16.85546875" customWidth="1"/>
    <col min="9" max="9" width="9" customWidth="1"/>
    <col min="10" max="10" width="8.42578125" bestFit="1" customWidth="1"/>
  </cols>
  <sheetData>
    <row r="1" spans="1:7" ht="21">
      <c r="A1" s="345" t="s">
        <v>197</v>
      </c>
      <c r="B1" s="346"/>
      <c r="C1" s="142"/>
      <c r="E1" s="239" t="s">
        <v>198</v>
      </c>
      <c r="F1" s="241"/>
      <c r="G1" s="1"/>
    </row>
    <row r="2" spans="1:7" ht="21">
      <c r="A2" s="341" t="s">
        <v>4</v>
      </c>
      <c r="B2" s="341"/>
      <c r="C2" s="142"/>
      <c r="E2" s="247" t="s">
        <v>4</v>
      </c>
      <c r="F2" s="247"/>
      <c r="G2" s="1"/>
    </row>
    <row r="3" spans="1:7" ht="21">
      <c r="A3" s="126" t="s">
        <v>5</v>
      </c>
      <c r="B3" s="126">
        <v>21</v>
      </c>
      <c r="C3" s="347"/>
      <c r="E3" s="2" t="s">
        <v>5</v>
      </c>
      <c r="F3" s="2">
        <v>10</v>
      </c>
      <c r="G3" s="248"/>
    </row>
    <row r="4" spans="1:7" ht="21">
      <c r="A4" s="126" t="s">
        <v>6</v>
      </c>
      <c r="B4" s="128" t="s">
        <v>37</v>
      </c>
      <c r="C4" s="348"/>
      <c r="E4" s="2" t="s">
        <v>6</v>
      </c>
      <c r="F4" s="4" t="s">
        <v>37</v>
      </c>
      <c r="G4" s="249"/>
    </row>
    <row r="5" spans="1:7" ht="84">
      <c r="A5" s="341" t="s">
        <v>372</v>
      </c>
      <c r="B5" s="341"/>
      <c r="C5" s="143" t="s">
        <v>9</v>
      </c>
      <c r="E5" s="247" t="s">
        <v>38</v>
      </c>
      <c r="F5" s="247"/>
      <c r="G5" s="5" t="s">
        <v>9</v>
      </c>
    </row>
    <row r="6" spans="1:7" ht="21">
      <c r="A6" s="143" t="s">
        <v>10</v>
      </c>
      <c r="B6" s="126" t="s">
        <v>199</v>
      </c>
      <c r="C6" s="126"/>
      <c r="E6" s="5" t="s">
        <v>10</v>
      </c>
      <c r="F6" s="2" t="s">
        <v>199</v>
      </c>
      <c r="G6" s="2"/>
    </row>
    <row r="7" spans="1:7" ht="21">
      <c r="A7" s="126" t="s">
        <v>12</v>
      </c>
      <c r="B7" s="128" t="s">
        <v>200</v>
      </c>
      <c r="C7" s="144">
        <v>5.0000000000000001E-4</v>
      </c>
      <c r="E7" s="2" t="s">
        <v>12</v>
      </c>
      <c r="F7" s="4" t="s">
        <v>200</v>
      </c>
      <c r="G7" s="6">
        <v>5.0000000000000001E-4</v>
      </c>
    </row>
    <row r="8" spans="1:7" ht="21">
      <c r="A8" s="126" t="s">
        <v>14</v>
      </c>
      <c r="B8" s="128" t="s">
        <v>201</v>
      </c>
      <c r="C8" s="144">
        <v>3.5000000000000001E-3</v>
      </c>
      <c r="E8" s="2" t="s">
        <v>14</v>
      </c>
      <c r="F8" s="4" t="s">
        <v>201</v>
      </c>
      <c r="G8" s="6">
        <v>3.5000000000000001E-3</v>
      </c>
    </row>
    <row r="9" spans="1:7" ht="21">
      <c r="A9" s="126" t="s">
        <v>16</v>
      </c>
      <c r="B9" s="128" t="s">
        <v>106</v>
      </c>
      <c r="C9" s="144">
        <v>6.9999999999999999E-4</v>
      </c>
      <c r="E9" s="2" t="s">
        <v>16</v>
      </c>
      <c r="F9" s="4" t="s">
        <v>106</v>
      </c>
      <c r="G9" s="6">
        <v>6.9999999999999999E-4</v>
      </c>
    </row>
    <row r="10" spans="1:7" ht="21">
      <c r="A10" s="126" t="s">
        <v>18</v>
      </c>
      <c r="B10" s="128" t="s">
        <v>19</v>
      </c>
      <c r="C10" s="145">
        <v>0</v>
      </c>
      <c r="E10" s="2" t="s">
        <v>18</v>
      </c>
      <c r="F10" s="4" t="s">
        <v>19</v>
      </c>
      <c r="G10" s="8">
        <v>0</v>
      </c>
    </row>
    <row r="11" spans="1:7" ht="21">
      <c r="A11" s="126" t="s">
        <v>20</v>
      </c>
      <c r="B11" s="128" t="s">
        <v>157</v>
      </c>
      <c r="C11" s="146">
        <v>1.2999999999999999E-2</v>
      </c>
      <c r="E11" s="2" t="s">
        <v>20</v>
      </c>
      <c r="F11" s="4" t="s">
        <v>157</v>
      </c>
      <c r="G11" s="9">
        <v>1.2999999999999999E-2</v>
      </c>
    </row>
    <row r="12" spans="1:7" ht="21">
      <c r="A12" s="126" t="s">
        <v>22</v>
      </c>
      <c r="B12" s="128" t="s">
        <v>202</v>
      </c>
      <c r="C12" s="146">
        <v>5.3999999999999999E-2</v>
      </c>
      <c r="E12" s="2" t="s">
        <v>22</v>
      </c>
      <c r="F12" s="4" t="s">
        <v>202</v>
      </c>
      <c r="G12" s="9">
        <v>5.3999999999999999E-2</v>
      </c>
    </row>
    <row r="13" spans="1:7" ht="21">
      <c r="A13" s="126" t="s">
        <v>24</v>
      </c>
      <c r="B13" s="128" t="s">
        <v>203</v>
      </c>
      <c r="C13" s="145">
        <v>0.01</v>
      </c>
      <c r="E13" s="2" t="s">
        <v>24</v>
      </c>
      <c r="F13" s="4" t="s">
        <v>203</v>
      </c>
      <c r="G13" s="8">
        <v>0.01</v>
      </c>
    </row>
    <row r="14" spans="1:7" ht="21">
      <c r="A14" s="126" t="s">
        <v>26</v>
      </c>
      <c r="B14" s="128" t="s">
        <v>178</v>
      </c>
      <c r="C14" s="146">
        <v>5.0000000000000001E-3</v>
      </c>
      <c r="E14" s="2" t="s">
        <v>26</v>
      </c>
      <c r="F14" s="4" t="s">
        <v>178</v>
      </c>
      <c r="G14" s="9">
        <v>5.0000000000000001E-3</v>
      </c>
    </row>
    <row r="15" spans="1:7" ht="21">
      <c r="A15" s="126" t="s">
        <v>28</v>
      </c>
      <c r="B15" s="128" t="s">
        <v>204</v>
      </c>
      <c r="C15" s="146">
        <v>6.0000000000000001E-3</v>
      </c>
      <c r="E15" s="2" t="s">
        <v>28</v>
      </c>
      <c r="F15" s="4" t="s">
        <v>204</v>
      </c>
      <c r="G15" s="9">
        <v>6.0000000000000001E-3</v>
      </c>
    </row>
    <row r="16" spans="1:7" ht="21">
      <c r="A16" s="126" t="s">
        <v>30</v>
      </c>
      <c r="B16" s="128" t="s">
        <v>90</v>
      </c>
      <c r="C16" s="146">
        <v>3.0000000000000001E-3</v>
      </c>
      <c r="E16" s="2" t="s">
        <v>30</v>
      </c>
      <c r="F16" s="4" t="s">
        <v>90</v>
      </c>
      <c r="G16" s="9">
        <v>3.0000000000000001E-3</v>
      </c>
    </row>
    <row r="17" spans="1:7" ht="21">
      <c r="A17" s="126" t="s">
        <v>32</v>
      </c>
      <c r="B17" s="128" t="s">
        <v>205</v>
      </c>
      <c r="C17" s="146">
        <v>2E-3</v>
      </c>
      <c r="E17" s="2" t="s">
        <v>32</v>
      </c>
      <c r="F17" s="4" t="s">
        <v>205</v>
      </c>
      <c r="G17" s="9">
        <v>2E-3</v>
      </c>
    </row>
    <row r="18" spans="1:7" ht="40.5" customHeight="1">
      <c r="A18" s="342" t="s">
        <v>34</v>
      </c>
      <c r="B18" s="343"/>
      <c r="C18" s="344"/>
      <c r="E18" s="253" t="s">
        <v>34</v>
      </c>
      <c r="F18" s="254"/>
      <c r="G18" s="255"/>
    </row>
  </sheetData>
  <mergeCells count="10">
    <mergeCell ref="A5:B5"/>
    <mergeCell ref="E5:F5"/>
    <mergeCell ref="A18:C18"/>
    <mergeCell ref="E18:G18"/>
    <mergeCell ref="A1:B1"/>
    <mergeCell ref="E1:F1"/>
    <mergeCell ref="A2:B2"/>
    <mergeCell ref="E2:F2"/>
    <mergeCell ref="C3:C4"/>
    <mergeCell ref="G3:G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843E-DEC4-4FB0-97EB-63297947D401}">
  <dimension ref="A1:C18"/>
  <sheetViews>
    <sheetView topLeftCell="A3" zoomScale="80" zoomScaleNormal="80" workbookViewId="0">
      <selection sqref="A1:C18"/>
    </sheetView>
  </sheetViews>
  <sheetFormatPr defaultRowHeight="15"/>
  <cols>
    <col min="1" max="1" width="52.85546875" customWidth="1"/>
    <col min="2" max="2" width="15" customWidth="1"/>
    <col min="3" max="3" width="16.140625" customWidth="1"/>
    <col min="5" max="5" width="8.140625" customWidth="1"/>
  </cols>
  <sheetData>
    <row r="1" spans="1:3" ht="17.25">
      <c r="A1" s="354" t="s">
        <v>206</v>
      </c>
      <c r="B1" s="355"/>
      <c r="C1" s="114"/>
    </row>
    <row r="2" spans="1:3" ht="17.25">
      <c r="A2" s="349" t="s">
        <v>4</v>
      </c>
      <c r="B2" s="350"/>
      <c r="C2" s="116"/>
    </row>
    <row r="3" spans="1:3" ht="17.25">
      <c r="A3" s="115" t="s">
        <v>5</v>
      </c>
      <c r="B3" s="110">
        <v>21</v>
      </c>
      <c r="C3" s="356"/>
    </row>
    <row r="4" spans="1:3" ht="17.25">
      <c r="A4" s="115" t="s">
        <v>6</v>
      </c>
      <c r="B4" s="111" t="s">
        <v>37</v>
      </c>
      <c r="C4" s="357"/>
    </row>
    <row r="5" spans="1:3" ht="51.75">
      <c r="A5" s="349" t="s">
        <v>334</v>
      </c>
      <c r="B5" s="350"/>
      <c r="C5" s="117" t="s">
        <v>9</v>
      </c>
    </row>
    <row r="6" spans="1:3" ht="17.25">
      <c r="A6" s="118" t="s">
        <v>10</v>
      </c>
      <c r="B6" s="112" t="s">
        <v>207</v>
      </c>
      <c r="C6" s="119"/>
    </row>
    <row r="7" spans="1:3" ht="17.25">
      <c r="A7" s="115" t="s">
        <v>12</v>
      </c>
      <c r="B7" s="113" t="s">
        <v>19</v>
      </c>
      <c r="C7" s="120">
        <v>0</v>
      </c>
    </row>
    <row r="8" spans="1:3" ht="17.25">
      <c r="A8" s="115" t="s">
        <v>14</v>
      </c>
      <c r="B8" s="113" t="s">
        <v>54</v>
      </c>
      <c r="C8" s="120">
        <v>0</v>
      </c>
    </row>
    <row r="9" spans="1:3" ht="17.25">
      <c r="A9" s="115" t="s">
        <v>16</v>
      </c>
      <c r="B9" s="113" t="s">
        <v>54</v>
      </c>
      <c r="C9" s="120">
        <v>0</v>
      </c>
    </row>
    <row r="10" spans="1:3" ht="17.25">
      <c r="A10" s="115" t="s">
        <v>18</v>
      </c>
      <c r="B10" s="113" t="s">
        <v>19</v>
      </c>
      <c r="C10" s="120">
        <v>0</v>
      </c>
    </row>
    <row r="11" spans="1:3" ht="17.25">
      <c r="A11" s="115" t="s">
        <v>20</v>
      </c>
      <c r="B11" s="113" t="s">
        <v>55</v>
      </c>
      <c r="C11" s="120">
        <v>0</v>
      </c>
    </row>
    <row r="12" spans="1:3" ht="17.25">
      <c r="A12" s="115" t="s">
        <v>22</v>
      </c>
      <c r="B12" s="113" t="s">
        <v>208</v>
      </c>
      <c r="C12" s="121">
        <v>8.6999999999999994E-2</v>
      </c>
    </row>
    <row r="13" spans="1:3" ht="17.25">
      <c r="A13" s="115" t="s">
        <v>24</v>
      </c>
      <c r="B13" s="113" t="s">
        <v>209</v>
      </c>
      <c r="C13" s="122">
        <v>2.64E-2</v>
      </c>
    </row>
    <row r="14" spans="1:3" ht="17.25">
      <c r="A14" s="115" t="s">
        <v>26</v>
      </c>
      <c r="B14" s="113" t="s">
        <v>210</v>
      </c>
      <c r="C14" s="121">
        <v>4.0000000000000001E-3</v>
      </c>
    </row>
    <row r="15" spans="1:3" ht="17.25">
      <c r="A15" s="115" t="s">
        <v>28</v>
      </c>
      <c r="B15" s="113" t="s">
        <v>211</v>
      </c>
      <c r="C15" s="121">
        <v>2.1999999999999999E-2</v>
      </c>
    </row>
    <row r="16" spans="1:3" ht="17.25">
      <c r="A16" s="115" t="s">
        <v>30</v>
      </c>
      <c r="B16" s="113" t="s">
        <v>212</v>
      </c>
      <c r="C16" s="121">
        <v>2.1499999999999998E-2</v>
      </c>
    </row>
    <row r="17" spans="1:3" ht="17.25">
      <c r="A17" s="115" t="s">
        <v>32</v>
      </c>
      <c r="B17" s="113" t="s">
        <v>213</v>
      </c>
      <c r="C17" s="122">
        <v>5.0000000000000001E-4</v>
      </c>
    </row>
    <row r="18" spans="1:3" ht="28.5" customHeight="1" thickBot="1">
      <c r="A18" s="351" t="s">
        <v>34</v>
      </c>
      <c r="B18" s="352"/>
      <c r="C18" s="353"/>
    </row>
  </sheetData>
  <mergeCells count="5">
    <mergeCell ref="A5:B5"/>
    <mergeCell ref="A18:C18"/>
    <mergeCell ref="A1:B1"/>
    <mergeCell ref="A2:B2"/>
    <mergeCell ref="C3:C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32E0-1512-4DBB-AA4E-D2254BCEEF34}">
  <dimension ref="A1:C18"/>
  <sheetViews>
    <sheetView topLeftCell="B1" zoomScale="115" zoomScaleNormal="115" workbookViewId="0">
      <selection activeCell="B17" sqref="B17"/>
    </sheetView>
  </sheetViews>
  <sheetFormatPr defaultRowHeight="15"/>
  <cols>
    <col min="1" max="1" width="43.140625" bestFit="1" customWidth="1"/>
    <col min="2" max="2" width="15.7109375" customWidth="1"/>
    <col min="3" max="3" width="14.7109375" customWidth="1"/>
    <col min="5" max="5" width="9.28515625" customWidth="1"/>
  </cols>
  <sheetData>
    <row r="1" spans="1:3" ht="18.75">
      <c r="A1" s="239" t="s">
        <v>214</v>
      </c>
      <c r="B1" s="241"/>
      <c r="C1" s="1"/>
    </row>
    <row r="2" spans="1:3">
      <c r="A2" s="247" t="s">
        <v>4</v>
      </c>
      <c r="B2" s="247"/>
      <c r="C2" s="1"/>
    </row>
    <row r="3" spans="1:3">
      <c r="A3" s="2" t="s">
        <v>5</v>
      </c>
      <c r="B3" s="2">
        <v>21</v>
      </c>
      <c r="C3" s="248"/>
    </row>
    <row r="4" spans="1:3">
      <c r="A4" s="2" t="s">
        <v>6</v>
      </c>
      <c r="B4" s="4" t="s">
        <v>37</v>
      </c>
      <c r="C4" s="249"/>
    </row>
    <row r="5" spans="1:3" ht="30">
      <c r="A5" s="247" t="s">
        <v>38</v>
      </c>
      <c r="B5" s="247"/>
      <c r="C5" s="5" t="s">
        <v>9</v>
      </c>
    </row>
    <row r="6" spans="1:3" ht="17.100000000000001" customHeight="1">
      <c r="A6" s="5" t="s">
        <v>10</v>
      </c>
      <c r="B6" s="15" t="s">
        <v>215</v>
      </c>
      <c r="C6" s="15"/>
    </row>
    <row r="7" spans="1:3">
      <c r="A7" s="2" t="s">
        <v>12</v>
      </c>
      <c r="B7" s="16" t="s">
        <v>216</v>
      </c>
      <c r="C7" s="17">
        <v>1.8E-3</v>
      </c>
    </row>
    <row r="8" spans="1:3">
      <c r="A8" s="2" t="s">
        <v>14</v>
      </c>
      <c r="B8" s="16" t="s">
        <v>54</v>
      </c>
      <c r="C8" s="18">
        <v>0</v>
      </c>
    </row>
    <row r="9" spans="1:3">
      <c r="A9" s="2" t="s">
        <v>16</v>
      </c>
      <c r="B9" s="16" t="s">
        <v>54</v>
      </c>
      <c r="C9" s="18">
        <v>0</v>
      </c>
    </row>
    <row r="10" spans="1:3">
      <c r="A10" s="2" t="s">
        <v>18</v>
      </c>
      <c r="B10" s="16" t="s">
        <v>19</v>
      </c>
      <c r="C10" s="18">
        <v>0</v>
      </c>
    </row>
    <row r="11" spans="1:3">
      <c r="A11" s="2" t="s">
        <v>20</v>
      </c>
      <c r="B11" s="16" t="s">
        <v>55</v>
      </c>
      <c r="C11" s="18">
        <v>0</v>
      </c>
    </row>
    <row r="12" spans="1:3">
      <c r="A12" s="2" t="s">
        <v>22</v>
      </c>
      <c r="B12" s="16" t="s">
        <v>56</v>
      </c>
      <c r="C12" s="18">
        <v>0.06</v>
      </c>
    </row>
    <row r="13" spans="1:3">
      <c r="A13" s="2" t="s">
        <v>24</v>
      </c>
      <c r="B13" s="16" t="s">
        <v>217</v>
      </c>
      <c r="C13" s="19">
        <v>4.0000000000000001E-3</v>
      </c>
    </row>
    <row r="14" spans="1:3">
      <c r="A14" s="2" t="s">
        <v>26</v>
      </c>
      <c r="B14" s="16" t="s">
        <v>218</v>
      </c>
      <c r="C14" s="17">
        <v>7.4999999999999997E-3</v>
      </c>
    </row>
    <row r="15" spans="1:3">
      <c r="A15" s="2" t="s">
        <v>28</v>
      </c>
      <c r="B15" s="16" t="s">
        <v>129</v>
      </c>
      <c r="C15" s="17">
        <v>1E-4</v>
      </c>
    </row>
    <row r="16" spans="1:3">
      <c r="A16" s="2" t="s">
        <v>30</v>
      </c>
      <c r="B16" s="16" t="s">
        <v>54</v>
      </c>
      <c r="C16" s="18">
        <v>0</v>
      </c>
    </row>
    <row r="17" spans="1:3">
      <c r="A17" s="2" t="s">
        <v>32</v>
      </c>
      <c r="B17" s="16" t="s">
        <v>219</v>
      </c>
      <c r="C17" s="17">
        <v>1E-4</v>
      </c>
    </row>
    <row r="18" spans="1:3" ht="36.6" customHeight="1">
      <c r="A18" s="253" t="s">
        <v>34</v>
      </c>
      <c r="B18" s="254"/>
      <c r="C18" s="255"/>
    </row>
  </sheetData>
  <mergeCells count="5">
    <mergeCell ref="A18:C18"/>
    <mergeCell ref="A1:B1"/>
    <mergeCell ref="A2:B2"/>
    <mergeCell ref="C3:C4"/>
    <mergeCell ref="A5:B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7187-1C4B-4826-A4E1-BF3430E4EACF}">
  <dimension ref="A1:C18"/>
  <sheetViews>
    <sheetView topLeftCell="B3" zoomScale="85" zoomScaleNormal="85" workbookViewId="0">
      <selection activeCell="A3" sqref="A3:C18"/>
    </sheetView>
  </sheetViews>
  <sheetFormatPr defaultRowHeight="15"/>
  <cols>
    <col min="1" max="1" width="43.140625" bestFit="1" customWidth="1"/>
    <col min="2" max="2" width="13.42578125" customWidth="1"/>
    <col min="3" max="3" width="21.5703125" customWidth="1"/>
    <col min="5" max="5" width="9.7109375" customWidth="1"/>
  </cols>
  <sheetData>
    <row r="1" spans="1:3" ht="18.75">
      <c r="A1" s="239" t="s">
        <v>220</v>
      </c>
      <c r="B1" s="241"/>
      <c r="C1" s="1"/>
    </row>
    <row r="2" spans="1:3">
      <c r="A2" s="247" t="s">
        <v>4</v>
      </c>
      <c r="B2" s="247"/>
      <c r="C2" s="1"/>
    </row>
    <row r="3" spans="1:3">
      <c r="A3" s="2" t="s">
        <v>5</v>
      </c>
      <c r="B3" s="2">
        <v>19</v>
      </c>
      <c r="C3" s="248"/>
    </row>
    <row r="4" spans="1:3">
      <c r="A4" s="2" t="s">
        <v>6</v>
      </c>
      <c r="B4" s="4" t="s">
        <v>37</v>
      </c>
      <c r="C4" s="249"/>
    </row>
    <row r="5" spans="1:3" ht="30">
      <c r="A5" s="247" t="s">
        <v>38</v>
      </c>
      <c r="B5" s="247"/>
      <c r="C5" s="5" t="s">
        <v>9</v>
      </c>
    </row>
    <row r="6" spans="1:3">
      <c r="A6" s="5" t="s">
        <v>10</v>
      </c>
      <c r="B6" s="15" t="s">
        <v>221</v>
      </c>
      <c r="C6" s="15"/>
    </row>
    <row r="7" spans="1:3">
      <c r="A7" s="2" t="s">
        <v>12</v>
      </c>
      <c r="B7" s="16" t="s">
        <v>100</v>
      </c>
      <c r="C7" s="17">
        <v>6.4799999999999996E-2</v>
      </c>
    </row>
    <row r="8" spans="1:3">
      <c r="A8" s="2" t="s">
        <v>14</v>
      </c>
      <c r="B8" s="16" t="s">
        <v>101</v>
      </c>
      <c r="C8" s="18">
        <v>0.03</v>
      </c>
    </row>
    <row r="9" spans="1:3">
      <c r="A9" s="2" t="s">
        <v>16</v>
      </c>
      <c r="B9" s="16" t="s">
        <v>222</v>
      </c>
      <c r="C9" s="19">
        <v>9.8000000000000004E-2</v>
      </c>
    </row>
    <row r="10" spans="1:3">
      <c r="A10" s="2" t="s">
        <v>18</v>
      </c>
      <c r="B10" s="16" t="s">
        <v>19</v>
      </c>
      <c r="C10" s="18">
        <v>0</v>
      </c>
    </row>
    <row r="11" spans="1:3">
      <c r="A11" s="2" t="s">
        <v>20</v>
      </c>
      <c r="B11" s="16" t="s">
        <v>55</v>
      </c>
      <c r="C11" s="18">
        <v>0</v>
      </c>
    </row>
    <row r="12" spans="1:3">
      <c r="A12" s="2" t="s">
        <v>22</v>
      </c>
      <c r="B12" s="16" t="s">
        <v>223</v>
      </c>
      <c r="C12" s="19">
        <v>9.8000000000000004E-2</v>
      </c>
    </row>
    <row r="13" spans="1:3">
      <c r="A13" s="2" t="s">
        <v>24</v>
      </c>
      <c r="B13" s="16" t="s">
        <v>224</v>
      </c>
      <c r="C13" s="17">
        <v>4.4000000000000003E-3</v>
      </c>
    </row>
    <row r="14" spans="1:3">
      <c r="A14" s="2" t="s">
        <v>26</v>
      </c>
      <c r="B14" s="16" t="s">
        <v>225</v>
      </c>
      <c r="C14" s="17">
        <v>1.6000000000000001E-3</v>
      </c>
    </row>
    <row r="15" spans="1:3">
      <c r="A15" s="2" t="s">
        <v>28</v>
      </c>
      <c r="B15" s="16" t="s">
        <v>54</v>
      </c>
      <c r="C15" s="18">
        <v>0</v>
      </c>
    </row>
    <row r="16" spans="1:3">
      <c r="A16" s="2" t="s">
        <v>30</v>
      </c>
      <c r="B16" s="16" t="s">
        <v>54</v>
      </c>
      <c r="C16" s="18">
        <v>0</v>
      </c>
    </row>
    <row r="17" spans="1:3">
      <c r="A17" s="2" t="s">
        <v>32</v>
      </c>
      <c r="B17" s="16" t="s">
        <v>219</v>
      </c>
      <c r="C17" s="17">
        <v>1E-4</v>
      </c>
    </row>
    <row r="18" spans="1:3" ht="36.6" customHeight="1">
      <c r="A18" s="253" t="s">
        <v>34</v>
      </c>
      <c r="B18" s="254"/>
      <c r="C18" s="255"/>
    </row>
  </sheetData>
  <mergeCells count="5">
    <mergeCell ref="A1:B1"/>
    <mergeCell ref="A2:B2"/>
    <mergeCell ref="C3:C4"/>
    <mergeCell ref="A5:B5"/>
    <mergeCell ref="A18:C1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C16A-1050-431E-BA12-1A00B0392B50}">
  <dimension ref="A1:C18"/>
  <sheetViews>
    <sheetView zoomScale="70" zoomScaleNormal="70" workbookViewId="0">
      <selection sqref="A1:C18"/>
    </sheetView>
  </sheetViews>
  <sheetFormatPr defaultRowHeight="15"/>
  <cols>
    <col min="1" max="1" width="48.42578125" customWidth="1"/>
    <col min="2" max="2" width="17.140625" customWidth="1"/>
    <col min="3" max="3" width="23.140625" customWidth="1"/>
    <col min="6" max="6" width="7.140625" customWidth="1"/>
  </cols>
  <sheetData>
    <row r="1" spans="1:3" ht="18.75">
      <c r="A1" s="292" t="s">
        <v>226</v>
      </c>
      <c r="B1" s="293"/>
      <c r="C1" s="76"/>
    </row>
    <row r="2" spans="1:3" ht="18.75">
      <c r="A2" s="284" t="s">
        <v>4</v>
      </c>
      <c r="B2" s="285"/>
      <c r="C2" s="81"/>
    </row>
    <row r="3" spans="1:3" ht="18.75">
      <c r="A3" s="77" t="s">
        <v>5</v>
      </c>
      <c r="B3" s="78">
        <v>21</v>
      </c>
      <c r="C3" s="296"/>
    </row>
    <row r="4" spans="1:3" ht="18.75">
      <c r="A4" s="77" t="s">
        <v>6</v>
      </c>
      <c r="B4" s="78" t="s">
        <v>37</v>
      </c>
      <c r="C4" s="297"/>
    </row>
    <row r="5" spans="1:3" ht="37.5">
      <c r="A5" s="284" t="s">
        <v>333</v>
      </c>
      <c r="B5" s="285"/>
      <c r="C5" s="83" t="s">
        <v>9</v>
      </c>
    </row>
    <row r="6" spans="1:3" ht="18.75">
      <c r="A6" s="84" t="s">
        <v>10</v>
      </c>
      <c r="B6" s="102" t="s">
        <v>227</v>
      </c>
      <c r="C6" s="103"/>
    </row>
    <row r="7" spans="1:3" ht="18.75">
      <c r="A7" s="77" t="s">
        <v>12</v>
      </c>
      <c r="B7" s="102" t="s">
        <v>228</v>
      </c>
      <c r="C7" s="104">
        <v>5.6500000000000002E-2</v>
      </c>
    </row>
    <row r="8" spans="1:3" ht="18.75">
      <c r="A8" s="77" t="s">
        <v>14</v>
      </c>
      <c r="B8" s="102" t="s">
        <v>229</v>
      </c>
      <c r="C8" s="105">
        <v>2.5000000000000001E-2</v>
      </c>
    </row>
    <row r="9" spans="1:3" ht="18.75">
      <c r="A9" s="77" t="s">
        <v>16</v>
      </c>
      <c r="B9" s="102" t="s">
        <v>79</v>
      </c>
      <c r="C9" s="105">
        <v>8.3000000000000004E-2</v>
      </c>
    </row>
    <row r="10" spans="1:3" ht="18.75">
      <c r="A10" s="77" t="s">
        <v>18</v>
      </c>
      <c r="B10" s="102" t="s">
        <v>19</v>
      </c>
      <c r="C10" s="106">
        <v>0</v>
      </c>
    </row>
    <row r="11" spans="1:3" ht="18.75">
      <c r="A11" s="77" t="s">
        <v>20</v>
      </c>
      <c r="B11" s="102" t="s">
        <v>230</v>
      </c>
      <c r="C11" s="106">
        <v>0.02</v>
      </c>
    </row>
    <row r="12" spans="1:3" ht="18.75">
      <c r="A12" s="77" t="s">
        <v>22</v>
      </c>
      <c r="B12" s="102" t="s">
        <v>231</v>
      </c>
      <c r="C12" s="105">
        <v>7.9000000000000001E-2</v>
      </c>
    </row>
    <row r="13" spans="1:3" ht="18.75">
      <c r="A13" s="77" t="s">
        <v>24</v>
      </c>
      <c r="B13" s="102" t="s">
        <v>232</v>
      </c>
      <c r="C13" s="104">
        <v>1.46E-2</v>
      </c>
    </row>
    <row r="14" spans="1:3" ht="18.75">
      <c r="A14" s="77" t="s">
        <v>26</v>
      </c>
      <c r="B14" s="102" t="s">
        <v>233</v>
      </c>
      <c r="C14" s="105">
        <v>2E-3</v>
      </c>
    </row>
    <row r="15" spans="1:3" ht="18.75">
      <c r="A15" s="77" t="s">
        <v>28</v>
      </c>
      <c r="B15" s="102" t="s">
        <v>102</v>
      </c>
      <c r="C15" s="104">
        <v>1.12E-2</v>
      </c>
    </row>
    <row r="16" spans="1:3" ht="18.75">
      <c r="A16" s="77" t="s">
        <v>30</v>
      </c>
      <c r="B16" s="102" t="s">
        <v>234</v>
      </c>
      <c r="C16" s="104">
        <v>1.0800000000000001E-2</v>
      </c>
    </row>
    <row r="17" spans="1:3" ht="18.75">
      <c r="A17" s="77" t="s">
        <v>32</v>
      </c>
      <c r="B17" s="102" t="s">
        <v>162</v>
      </c>
      <c r="C17" s="104">
        <v>8.9999999999999998E-4</v>
      </c>
    </row>
    <row r="18" spans="1:3" ht="36.950000000000003" customHeight="1" thickBot="1">
      <c r="A18" s="289" t="s">
        <v>34</v>
      </c>
      <c r="B18" s="290"/>
      <c r="C18" s="291"/>
    </row>
  </sheetData>
  <mergeCells count="5">
    <mergeCell ref="A1:B1"/>
    <mergeCell ref="A2:B2"/>
    <mergeCell ref="C3:C4"/>
    <mergeCell ref="A5:B5"/>
    <mergeCell ref="A18:C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C695-63BB-4184-9E90-6EFE8533066B}">
  <dimension ref="A1:C18"/>
  <sheetViews>
    <sheetView zoomScale="70" zoomScaleNormal="70" workbookViewId="0">
      <selection sqref="A1:C18"/>
    </sheetView>
  </sheetViews>
  <sheetFormatPr defaultRowHeight="15"/>
  <cols>
    <col min="1" max="1" width="43.140625" bestFit="1" customWidth="1"/>
    <col min="2" max="2" width="16.140625" customWidth="1"/>
    <col min="3" max="3" width="21.5703125" customWidth="1"/>
    <col min="5" max="5" width="9.5703125" customWidth="1"/>
  </cols>
  <sheetData>
    <row r="1" spans="1:3" ht="18.75">
      <c r="A1" s="239" t="s">
        <v>235</v>
      </c>
      <c r="B1" s="241"/>
      <c r="C1" s="1"/>
    </row>
    <row r="2" spans="1:3">
      <c r="A2" s="247" t="s">
        <v>4</v>
      </c>
      <c r="B2" s="247"/>
      <c r="C2" s="1"/>
    </row>
    <row r="3" spans="1:3">
      <c r="A3" s="2" t="s">
        <v>5</v>
      </c>
      <c r="B3" s="2">
        <v>21</v>
      </c>
      <c r="C3" s="248"/>
    </row>
    <row r="4" spans="1:3">
      <c r="A4" s="2" t="s">
        <v>6</v>
      </c>
      <c r="B4" s="4" t="s">
        <v>37</v>
      </c>
      <c r="C4" s="249"/>
    </row>
    <row r="5" spans="1:3" ht="30">
      <c r="A5" s="247" t="s">
        <v>38</v>
      </c>
      <c r="B5" s="247"/>
      <c r="C5" s="5" t="s">
        <v>9</v>
      </c>
    </row>
    <row r="6" spans="1:3">
      <c r="A6" s="5" t="s">
        <v>10</v>
      </c>
      <c r="B6" s="15" t="s">
        <v>236</v>
      </c>
      <c r="C6" s="15"/>
    </row>
    <row r="7" spans="1:3">
      <c r="A7" s="2" t="s">
        <v>12</v>
      </c>
      <c r="B7" s="16" t="s">
        <v>19</v>
      </c>
      <c r="C7" s="18">
        <v>0</v>
      </c>
    </row>
    <row r="8" spans="1:3">
      <c r="A8" s="2" t="s">
        <v>14</v>
      </c>
      <c r="B8" s="16" t="s">
        <v>54</v>
      </c>
      <c r="C8" s="18">
        <v>0</v>
      </c>
    </row>
    <row r="9" spans="1:3">
      <c r="A9" s="2" t="s">
        <v>16</v>
      </c>
      <c r="B9" s="16" t="s">
        <v>54</v>
      </c>
      <c r="C9" s="18">
        <v>0</v>
      </c>
    </row>
    <row r="10" spans="1:3">
      <c r="A10" s="2" t="s">
        <v>18</v>
      </c>
      <c r="B10" s="16" t="s">
        <v>19</v>
      </c>
      <c r="C10" s="18">
        <v>0</v>
      </c>
    </row>
    <row r="11" spans="1:3">
      <c r="A11" s="2" t="s">
        <v>20</v>
      </c>
      <c r="B11" s="16" t="s">
        <v>55</v>
      </c>
      <c r="C11" s="18">
        <v>0</v>
      </c>
    </row>
    <row r="12" spans="1:3">
      <c r="A12" s="2" t="s">
        <v>22</v>
      </c>
      <c r="B12" s="16" t="s">
        <v>237</v>
      </c>
      <c r="C12" s="19">
        <v>0.158</v>
      </c>
    </row>
    <row r="13" spans="1:3">
      <c r="A13" s="2" t="s">
        <v>24</v>
      </c>
      <c r="B13" s="16" t="s">
        <v>238</v>
      </c>
      <c r="C13" s="17">
        <v>3.7599999999999999E-3</v>
      </c>
    </row>
    <row r="14" spans="1:3">
      <c r="A14" s="2" t="s">
        <v>26</v>
      </c>
      <c r="B14" s="16" t="s">
        <v>233</v>
      </c>
      <c r="C14" s="19">
        <v>2E-3</v>
      </c>
    </row>
    <row r="15" spans="1:3">
      <c r="A15" s="2" t="s">
        <v>28</v>
      </c>
      <c r="B15" s="4" t="s">
        <v>54</v>
      </c>
      <c r="C15" s="18">
        <v>0</v>
      </c>
    </row>
    <row r="16" spans="1:3">
      <c r="A16" s="2" t="s">
        <v>30</v>
      </c>
      <c r="B16" s="4" t="s">
        <v>54</v>
      </c>
      <c r="C16" s="18">
        <v>0</v>
      </c>
    </row>
    <row r="17" spans="1:3">
      <c r="A17" s="2" t="s">
        <v>32</v>
      </c>
      <c r="B17" s="16" t="s">
        <v>239</v>
      </c>
      <c r="C17" s="17">
        <v>5.9999999999999995E-4</v>
      </c>
    </row>
    <row r="18" spans="1:3" ht="29.45" customHeight="1">
      <c r="A18" s="253" t="s">
        <v>34</v>
      </c>
      <c r="B18" s="254"/>
      <c r="C18" s="255"/>
    </row>
  </sheetData>
  <mergeCells count="5">
    <mergeCell ref="A1:B1"/>
    <mergeCell ref="A2:B2"/>
    <mergeCell ref="C3:C4"/>
    <mergeCell ref="A5:B5"/>
    <mergeCell ref="A18:C1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8886-4089-40A0-BD1F-106AAB46C026}">
  <dimension ref="A1:C18"/>
  <sheetViews>
    <sheetView topLeftCell="B5" zoomScale="115" zoomScaleNormal="115" workbookViewId="0">
      <selection activeCell="C20" sqref="C20"/>
    </sheetView>
  </sheetViews>
  <sheetFormatPr defaultRowHeight="15"/>
  <cols>
    <col min="1" max="1" width="43.140625" bestFit="1" customWidth="1"/>
    <col min="2" max="2" width="13.140625" customWidth="1"/>
    <col min="3" max="3" width="17.5703125" customWidth="1"/>
    <col min="5" max="5" width="8.140625" customWidth="1"/>
  </cols>
  <sheetData>
    <row r="1" spans="1:3" ht="18.75">
      <c r="A1" s="239" t="s">
        <v>240</v>
      </c>
      <c r="B1" s="241"/>
      <c r="C1" s="1"/>
    </row>
    <row r="2" spans="1:3">
      <c r="A2" s="247" t="s">
        <v>4</v>
      </c>
      <c r="B2" s="247"/>
      <c r="C2" s="1"/>
    </row>
    <row r="3" spans="1:3">
      <c r="A3" s="2" t="s">
        <v>5</v>
      </c>
      <c r="B3" s="2">
        <v>20</v>
      </c>
      <c r="C3" s="248"/>
    </row>
    <row r="4" spans="1:3">
      <c r="A4" s="2" t="s">
        <v>6</v>
      </c>
      <c r="B4" s="4" t="s">
        <v>37</v>
      </c>
      <c r="C4" s="249"/>
    </row>
    <row r="5" spans="1:3" ht="30">
      <c r="A5" s="247" t="s">
        <v>38</v>
      </c>
      <c r="B5" s="247"/>
      <c r="C5" s="5" t="s">
        <v>9</v>
      </c>
    </row>
    <row r="6" spans="1:3">
      <c r="A6" s="5" t="s">
        <v>10</v>
      </c>
      <c r="B6" s="15" t="s">
        <v>241</v>
      </c>
      <c r="C6" s="15"/>
    </row>
    <row r="7" spans="1:3">
      <c r="A7" s="2" t="s">
        <v>12</v>
      </c>
      <c r="B7" s="16" t="s">
        <v>242</v>
      </c>
      <c r="C7" s="18">
        <v>1.6E-2</v>
      </c>
    </row>
    <row r="8" spans="1:3">
      <c r="A8" s="2" t="s">
        <v>14</v>
      </c>
      <c r="B8" s="16">
        <v>0.05</v>
      </c>
      <c r="C8" s="17">
        <v>2.5000000000000001E-3</v>
      </c>
    </row>
    <row r="9" spans="1:3">
      <c r="A9" s="2" t="s">
        <v>16</v>
      </c>
      <c r="B9" s="16" t="s">
        <v>124</v>
      </c>
      <c r="C9" s="19">
        <v>2.7E-2</v>
      </c>
    </row>
    <row r="10" spans="1:3">
      <c r="A10" s="2" t="s">
        <v>18</v>
      </c>
      <c r="B10" s="16" t="s">
        <v>19</v>
      </c>
      <c r="C10" s="18">
        <v>0</v>
      </c>
    </row>
    <row r="11" spans="1:3">
      <c r="A11" s="2" t="s">
        <v>20</v>
      </c>
      <c r="B11" s="16" t="s">
        <v>55</v>
      </c>
      <c r="C11" s="18">
        <v>0</v>
      </c>
    </row>
    <row r="12" spans="1:3">
      <c r="A12" s="2" t="s">
        <v>22</v>
      </c>
      <c r="B12" s="16" t="s">
        <v>243</v>
      </c>
      <c r="C12" s="19">
        <v>0.16500000000000001</v>
      </c>
    </row>
    <row r="13" spans="1:3">
      <c r="A13" s="2" t="s">
        <v>24</v>
      </c>
      <c r="B13" s="16" t="s">
        <v>244</v>
      </c>
      <c r="C13" s="17">
        <v>6.6E-3</v>
      </c>
    </row>
    <row r="14" spans="1:3">
      <c r="A14" s="2" t="s">
        <v>26</v>
      </c>
      <c r="B14" s="16" t="s">
        <v>229</v>
      </c>
      <c r="C14" s="17">
        <v>1.35E-2</v>
      </c>
    </row>
    <row r="15" spans="1:3">
      <c r="A15" s="2" t="s">
        <v>28</v>
      </c>
      <c r="B15" s="4" t="s">
        <v>130</v>
      </c>
      <c r="C15" s="19">
        <v>3.0000000000000001E-3</v>
      </c>
    </row>
    <row r="16" spans="1:3">
      <c r="A16" s="2" t="s">
        <v>30</v>
      </c>
      <c r="B16" s="4" t="s">
        <v>101</v>
      </c>
      <c r="C16" s="17">
        <v>2.3999999999999998E-3</v>
      </c>
    </row>
    <row r="17" spans="1:3">
      <c r="A17" s="2" t="s">
        <v>32</v>
      </c>
      <c r="B17" s="16" t="s">
        <v>245</v>
      </c>
      <c r="C17" s="17">
        <v>5.1999999999999998E-3</v>
      </c>
    </row>
    <row r="18" spans="1:3" ht="35.450000000000003" customHeight="1">
      <c r="A18" s="253" t="s">
        <v>34</v>
      </c>
      <c r="B18" s="254"/>
      <c r="C18" s="255"/>
    </row>
  </sheetData>
  <mergeCells count="5">
    <mergeCell ref="A1:B1"/>
    <mergeCell ref="A2:B2"/>
    <mergeCell ref="C3:C4"/>
    <mergeCell ref="A5:B5"/>
    <mergeCell ref="A18:C1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FD90-D945-4C9D-A39A-6FC9DB0BC27F}">
  <dimension ref="A1:C19"/>
  <sheetViews>
    <sheetView workbookViewId="0">
      <selection activeCell="C10" sqref="A1:C19"/>
    </sheetView>
  </sheetViews>
  <sheetFormatPr defaultRowHeight="15"/>
  <cols>
    <col min="1" max="1" width="43.140625" bestFit="1" customWidth="1"/>
    <col min="3" max="3" width="24.7109375" customWidth="1"/>
    <col min="5" max="5" width="9.5703125" customWidth="1"/>
  </cols>
  <sheetData>
    <row r="1" spans="1:3" ht="18.75">
      <c r="A1" s="239" t="s">
        <v>246</v>
      </c>
      <c r="B1" s="241"/>
      <c r="C1" s="1"/>
    </row>
    <row r="2" spans="1:3">
      <c r="A2" s="247" t="s">
        <v>4</v>
      </c>
      <c r="B2" s="247"/>
      <c r="C2" s="1"/>
    </row>
    <row r="3" spans="1:3">
      <c r="A3" s="2" t="s">
        <v>5</v>
      </c>
      <c r="B3" s="2">
        <v>21</v>
      </c>
      <c r="C3" s="248"/>
    </row>
    <row r="4" spans="1:3">
      <c r="A4" s="2" t="s">
        <v>6</v>
      </c>
      <c r="B4" s="4" t="s">
        <v>37</v>
      </c>
      <c r="C4" s="249"/>
    </row>
    <row r="5" spans="1:3" ht="30">
      <c r="A5" s="247" t="s">
        <v>38</v>
      </c>
      <c r="B5" s="247"/>
      <c r="C5" s="5" t="s">
        <v>9</v>
      </c>
    </row>
    <row r="6" spans="1:3">
      <c r="A6" s="5" t="s">
        <v>10</v>
      </c>
      <c r="B6" s="15" t="s">
        <v>247</v>
      </c>
      <c r="C6" s="15"/>
    </row>
    <row r="7" spans="1:3">
      <c r="A7" s="2" t="s">
        <v>12</v>
      </c>
      <c r="B7" s="16" t="s">
        <v>19</v>
      </c>
      <c r="C7" s="18">
        <v>0</v>
      </c>
    </row>
    <row r="8" spans="1:3">
      <c r="A8" s="2" t="s">
        <v>14</v>
      </c>
      <c r="B8" s="16" t="s">
        <v>19</v>
      </c>
      <c r="C8" s="18">
        <v>0</v>
      </c>
    </row>
    <row r="9" spans="1:3">
      <c r="A9" s="2" t="s">
        <v>16</v>
      </c>
      <c r="B9" s="16" t="s">
        <v>19</v>
      </c>
      <c r="C9" s="18">
        <v>0</v>
      </c>
    </row>
    <row r="10" spans="1:3">
      <c r="A10" s="2" t="s">
        <v>18</v>
      </c>
      <c r="B10" s="16" t="s">
        <v>19</v>
      </c>
      <c r="C10" s="18">
        <v>0</v>
      </c>
    </row>
    <row r="11" spans="1:3">
      <c r="A11" s="2" t="s">
        <v>20</v>
      </c>
      <c r="B11" s="16" t="s">
        <v>55</v>
      </c>
      <c r="C11" s="18">
        <v>0</v>
      </c>
    </row>
    <row r="12" spans="1:3">
      <c r="A12" s="2" t="s">
        <v>22</v>
      </c>
      <c r="B12" s="16" t="s">
        <v>248</v>
      </c>
      <c r="C12" s="19">
        <v>7.4999999999999997E-2</v>
      </c>
    </row>
    <row r="13" spans="1:3">
      <c r="A13" s="2" t="s">
        <v>24</v>
      </c>
      <c r="B13" s="16" t="s">
        <v>117</v>
      </c>
      <c r="C13" s="17">
        <v>1.6400000000000001E-2</v>
      </c>
    </row>
    <row r="14" spans="1:3">
      <c r="A14" s="2" t="s">
        <v>26</v>
      </c>
      <c r="B14" s="16" t="s">
        <v>118</v>
      </c>
      <c r="C14" s="19">
        <v>5.0000000000000001E-3</v>
      </c>
    </row>
    <row r="15" spans="1:3">
      <c r="A15" s="2" t="s">
        <v>28</v>
      </c>
      <c r="B15" s="4" t="s">
        <v>249</v>
      </c>
      <c r="C15" s="19">
        <v>1.2999999999999999E-2</v>
      </c>
    </row>
    <row r="16" spans="1:3">
      <c r="A16" s="2" t="s">
        <v>30</v>
      </c>
      <c r="B16" s="4" t="s">
        <v>136</v>
      </c>
      <c r="C16" s="19">
        <v>1.2E-2</v>
      </c>
    </row>
    <row r="17" spans="1:3">
      <c r="A17" s="2" t="s">
        <v>32</v>
      </c>
      <c r="B17" s="16" t="s">
        <v>250</v>
      </c>
      <c r="C17" s="19">
        <v>1E-3</v>
      </c>
    </row>
    <row r="18" spans="1:3" ht="14.45" customHeight="1">
      <c r="A18" s="358" t="s">
        <v>34</v>
      </c>
      <c r="B18" s="358"/>
      <c r="C18" s="358"/>
    </row>
    <row r="19" spans="1:3">
      <c r="A19" s="276"/>
      <c r="B19" s="276"/>
      <c r="C19" s="276"/>
    </row>
  </sheetData>
  <mergeCells count="5">
    <mergeCell ref="A1:B1"/>
    <mergeCell ref="A2:B2"/>
    <mergeCell ref="C3:C4"/>
    <mergeCell ref="A5:B5"/>
    <mergeCell ref="A18:C19"/>
  </mergeCells>
  <phoneticPr fontId="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596F-3BB5-42B0-A62E-A155F3402287}">
  <dimension ref="A1:C19"/>
  <sheetViews>
    <sheetView topLeftCell="B4" workbookViewId="0">
      <selection sqref="A1:C19"/>
    </sheetView>
  </sheetViews>
  <sheetFormatPr defaultRowHeight="15"/>
  <cols>
    <col min="1" max="1" width="65.140625" customWidth="1"/>
    <col min="3" max="3" width="24.42578125" customWidth="1"/>
    <col min="6" max="6" width="11.42578125" customWidth="1"/>
  </cols>
  <sheetData>
    <row r="1" spans="1:3" ht="18.75">
      <c r="A1" s="292" t="s">
        <v>251</v>
      </c>
      <c r="B1" s="293"/>
      <c r="C1" s="66"/>
    </row>
    <row r="2" spans="1:3">
      <c r="A2" s="273" t="s">
        <v>4</v>
      </c>
      <c r="B2" s="247"/>
      <c r="C2" s="68"/>
    </row>
    <row r="3" spans="1:3">
      <c r="A3" s="67" t="s">
        <v>5</v>
      </c>
      <c r="B3" s="2">
        <v>5</v>
      </c>
      <c r="C3" s="309"/>
    </row>
    <row r="4" spans="1:3">
      <c r="A4" s="67" t="s">
        <v>6</v>
      </c>
      <c r="B4" s="4" t="s">
        <v>37</v>
      </c>
      <c r="C4" s="310"/>
    </row>
    <row r="5" spans="1:3" ht="30">
      <c r="A5" s="273" t="s">
        <v>38</v>
      </c>
      <c r="B5" s="247"/>
      <c r="C5" s="69" t="s">
        <v>9</v>
      </c>
    </row>
    <row r="6" spans="1:3">
      <c r="A6" s="70" t="s">
        <v>10</v>
      </c>
      <c r="B6" s="15" t="s">
        <v>252</v>
      </c>
      <c r="C6" s="138"/>
    </row>
    <row r="7" spans="1:3">
      <c r="A7" s="67" t="s">
        <v>12</v>
      </c>
      <c r="B7" s="16" t="s">
        <v>253</v>
      </c>
      <c r="C7" s="139">
        <v>6.0000000000000001E-3</v>
      </c>
    </row>
    <row r="8" spans="1:3">
      <c r="A8" s="67" t="s">
        <v>14</v>
      </c>
      <c r="B8" s="16" t="s">
        <v>254</v>
      </c>
      <c r="C8" s="140">
        <v>1.5E-3</v>
      </c>
    </row>
    <row r="9" spans="1:3">
      <c r="A9" s="67" t="s">
        <v>16</v>
      </c>
      <c r="B9" s="16" t="s">
        <v>255</v>
      </c>
      <c r="C9" s="139">
        <v>8.9999999999999993E-3</v>
      </c>
    </row>
    <row r="10" spans="1:3">
      <c r="A10" s="67" t="s">
        <v>18</v>
      </c>
      <c r="B10" s="16" t="s">
        <v>19</v>
      </c>
      <c r="C10" s="141">
        <v>0</v>
      </c>
    </row>
    <row r="11" spans="1:3">
      <c r="A11" s="67" t="s">
        <v>20</v>
      </c>
      <c r="B11" s="16" t="s">
        <v>55</v>
      </c>
      <c r="C11" s="141">
        <v>0</v>
      </c>
    </row>
    <row r="12" spans="1:3">
      <c r="A12" s="67" t="s">
        <v>22</v>
      </c>
      <c r="B12" s="16" t="s">
        <v>256</v>
      </c>
      <c r="C12" s="139">
        <v>2.92E-2</v>
      </c>
    </row>
    <row r="13" spans="1:3">
      <c r="A13" s="67" t="s">
        <v>24</v>
      </c>
      <c r="B13" s="16" t="s">
        <v>257</v>
      </c>
      <c r="C13" s="139">
        <v>8.9999999999999993E-3</v>
      </c>
    </row>
    <row r="14" spans="1:3">
      <c r="A14" s="67" t="s">
        <v>26</v>
      </c>
      <c r="B14" s="16" t="s">
        <v>54</v>
      </c>
      <c r="C14" s="141">
        <v>0</v>
      </c>
    </row>
    <row r="15" spans="1:3">
      <c r="A15" s="67" t="s">
        <v>28</v>
      </c>
      <c r="B15" s="4" t="s">
        <v>258</v>
      </c>
      <c r="C15" s="140">
        <v>8.8000000000000005E-3</v>
      </c>
    </row>
    <row r="16" spans="1:3">
      <c r="A16" s="67" t="s">
        <v>30</v>
      </c>
      <c r="B16" s="4" t="s">
        <v>150</v>
      </c>
      <c r="C16" s="139">
        <v>8.0000000000000002E-3</v>
      </c>
    </row>
    <row r="17" spans="1:3">
      <c r="A17" s="67" t="s">
        <v>32</v>
      </c>
      <c r="B17" s="16" t="s">
        <v>159</v>
      </c>
      <c r="C17" s="140">
        <v>6.9999999999999999E-4</v>
      </c>
    </row>
    <row r="18" spans="1:3">
      <c r="A18" s="359" t="s">
        <v>34</v>
      </c>
      <c r="B18" s="358"/>
      <c r="C18" s="360"/>
    </row>
    <row r="19" spans="1:3" ht="15.75" thickBot="1">
      <c r="A19" s="278"/>
      <c r="B19" s="279"/>
      <c r="C19" s="280"/>
    </row>
  </sheetData>
  <mergeCells count="5">
    <mergeCell ref="A1:B1"/>
    <mergeCell ref="A2:B2"/>
    <mergeCell ref="C3:C4"/>
    <mergeCell ref="A5:B5"/>
    <mergeCell ref="A18:C1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31D0-9194-4E03-B096-2AA3066CC471}">
  <dimension ref="A1:C21"/>
  <sheetViews>
    <sheetView topLeftCell="B6" zoomScale="80" zoomScaleNormal="80" workbookViewId="0">
      <selection sqref="A1:C19"/>
    </sheetView>
  </sheetViews>
  <sheetFormatPr defaultRowHeight="15"/>
  <cols>
    <col min="1" max="1" width="89.5703125" customWidth="1"/>
    <col min="2" max="2" width="13" customWidth="1"/>
    <col min="3" max="3" width="13.28515625" bestFit="1" customWidth="1"/>
  </cols>
  <sheetData>
    <row r="1" spans="1:3" ht="21">
      <c r="A1" s="361" t="s">
        <v>259</v>
      </c>
      <c r="B1" s="362"/>
      <c r="C1" s="124"/>
    </row>
    <row r="2" spans="1:3" ht="21">
      <c r="A2" s="363" t="s">
        <v>4</v>
      </c>
      <c r="B2" s="341"/>
      <c r="C2" s="127"/>
    </row>
    <row r="3" spans="1:3" ht="21">
      <c r="A3" s="125" t="s">
        <v>5</v>
      </c>
      <c r="B3" s="126">
        <v>5</v>
      </c>
      <c r="C3" s="364"/>
    </row>
    <row r="4" spans="1:3" ht="21">
      <c r="A4" s="125" t="s">
        <v>6</v>
      </c>
      <c r="B4" s="128" t="s">
        <v>37</v>
      </c>
      <c r="C4" s="365"/>
    </row>
    <row r="5" spans="1:3" ht="84">
      <c r="A5" s="363" t="s">
        <v>372</v>
      </c>
      <c r="B5" s="341"/>
      <c r="C5" s="129" t="s">
        <v>9</v>
      </c>
    </row>
    <row r="6" spans="1:3" ht="21">
      <c r="A6" s="130" t="s">
        <v>10</v>
      </c>
      <c r="B6" s="131" t="s">
        <v>252</v>
      </c>
      <c r="C6" s="132"/>
    </row>
    <row r="7" spans="1:3" ht="21">
      <c r="A7" s="125" t="s">
        <v>12</v>
      </c>
      <c r="B7" s="133" t="s">
        <v>253</v>
      </c>
      <c r="C7" s="134">
        <v>6.0000000000000001E-3</v>
      </c>
    </row>
    <row r="8" spans="1:3" ht="21">
      <c r="A8" s="125" t="s">
        <v>14</v>
      </c>
      <c r="B8" s="133" t="s">
        <v>254</v>
      </c>
      <c r="C8" s="135">
        <v>1.5E-3</v>
      </c>
    </row>
    <row r="9" spans="1:3" ht="21">
      <c r="A9" s="125" t="s">
        <v>16</v>
      </c>
      <c r="B9" s="133" t="s">
        <v>255</v>
      </c>
      <c r="C9" s="134">
        <v>8.9999999999999993E-3</v>
      </c>
    </row>
    <row r="10" spans="1:3" ht="21">
      <c r="A10" s="125" t="s">
        <v>18</v>
      </c>
      <c r="B10" s="133" t="s">
        <v>19</v>
      </c>
      <c r="C10" s="136">
        <v>0</v>
      </c>
    </row>
    <row r="11" spans="1:3" ht="21">
      <c r="A11" s="125" t="s">
        <v>20</v>
      </c>
      <c r="B11" s="133" t="s">
        <v>55</v>
      </c>
      <c r="C11" s="136">
        <v>0</v>
      </c>
    </row>
    <row r="12" spans="1:3" ht="21">
      <c r="A12" s="125" t="s">
        <v>22</v>
      </c>
      <c r="B12" s="133" t="s">
        <v>256</v>
      </c>
      <c r="C12" s="134">
        <v>2.92E-2</v>
      </c>
    </row>
    <row r="13" spans="1:3" ht="21">
      <c r="A13" s="125" t="s">
        <v>24</v>
      </c>
      <c r="B13" s="133" t="s">
        <v>257</v>
      </c>
      <c r="C13" s="134">
        <v>8.9999999999999993E-3</v>
      </c>
    </row>
    <row r="14" spans="1:3" ht="21">
      <c r="A14" s="125" t="s">
        <v>26</v>
      </c>
      <c r="B14" s="133" t="s">
        <v>54</v>
      </c>
      <c r="C14" s="136">
        <v>0</v>
      </c>
    </row>
    <row r="15" spans="1:3" ht="21">
      <c r="A15" s="125" t="s">
        <v>28</v>
      </c>
      <c r="B15" s="128" t="s">
        <v>258</v>
      </c>
      <c r="C15" s="135">
        <v>8.8000000000000005E-3</v>
      </c>
    </row>
    <row r="16" spans="1:3" ht="21">
      <c r="A16" s="125" t="s">
        <v>30</v>
      </c>
      <c r="B16" s="128" t="s">
        <v>150</v>
      </c>
      <c r="C16" s="134">
        <v>8.0000000000000002E-3</v>
      </c>
    </row>
    <row r="17" spans="1:3" ht="21">
      <c r="A17" s="125" t="s">
        <v>32</v>
      </c>
      <c r="B17" s="133" t="s">
        <v>159</v>
      </c>
      <c r="C17" s="135">
        <v>6.9999999999999999E-4</v>
      </c>
    </row>
    <row r="18" spans="1:3">
      <c r="A18" s="366" t="s">
        <v>34</v>
      </c>
      <c r="B18" s="367"/>
      <c r="C18" s="368"/>
    </row>
    <row r="19" spans="1:3" ht="15.75" thickBot="1">
      <c r="A19" s="369"/>
      <c r="B19" s="370"/>
      <c r="C19" s="371"/>
    </row>
    <row r="20" spans="1:3" ht="21">
      <c r="A20" s="137"/>
      <c r="B20" s="137"/>
      <c r="C20" s="137"/>
    </row>
    <row r="21" spans="1:3" ht="21">
      <c r="A21" s="137"/>
      <c r="B21" s="137"/>
      <c r="C21" s="137"/>
    </row>
  </sheetData>
  <mergeCells count="5">
    <mergeCell ref="A1:B1"/>
    <mergeCell ref="A2:B2"/>
    <mergeCell ref="C3:C4"/>
    <mergeCell ref="A5:B5"/>
    <mergeCell ref="A18:C1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10DF-CBC6-440A-A245-6E553D932085}">
  <dimension ref="A1:C20"/>
  <sheetViews>
    <sheetView workbookViewId="0"/>
  </sheetViews>
  <sheetFormatPr defaultRowHeight="15"/>
  <cols>
    <col min="1" max="1" width="54.42578125" customWidth="1"/>
    <col min="2" max="2" width="17" customWidth="1"/>
    <col min="3" max="3" width="25.28515625" customWidth="1"/>
  </cols>
  <sheetData>
    <row r="1" spans="1:3">
      <c r="A1" s="39" t="s">
        <v>260</v>
      </c>
      <c r="B1" s="40"/>
      <c r="C1" s="40"/>
    </row>
    <row r="2" spans="1:3">
      <c r="A2" s="39" t="s">
        <v>261</v>
      </c>
      <c r="B2" s="39"/>
      <c r="C2" s="39"/>
    </row>
    <row r="3" spans="1:3">
      <c r="A3" s="39" t="s">
        <v>262</v>
      </c>
      <c r="B3" s="39" t="s">
        <v>263</v>
      </c>
      <c r="C3" s="39"/>
    </row>
    <row r="4" spans="1:3">
      <c r="A4" s="39" t="s">
        <v>264</v>
      </c>
      <c r="B4" s="39" t="s">
        <v>37</v>
      </c>
      <c r="C4" s="39"/>
    </row>
    <row r="5" spans="1:3">
      <c r="A5" s="39" t="s">
        <v>265</v>
      </c>
      <c r="B5" s="39"/>
      <c r="C5" s="39" t="s">
        <v>266</v>
      </c>
    </row>
    <row r="6" spans="1:3">
      <c r="A6" s="39"/>
      <c r="B6" s="39"/>
      <c r="C6" s="39" t="s">
        <v>267</v>
      </c>
    </row>
    <row r="7" spans="1:3">
      <c r="A7" s="39" t="s">
        <v>268</v>
      </c>
      <c r="B7" s="39" t="s">
        <v>269</v>
      </c>
      <c r="C7" s="39"/>
    </row>
    <row r="8" spans="1:3">
      <c r="A8" s="39" t="s">
        <v>270</v>
      </c>
      <c r="B8" s="39" t="s">
        <v>271</v>
      </c>
      <c r="C8" s="41">
        <v>7.0000000000000007E-2</v>
      </c>
    </row>
    <row r="9" spans="1:3">
      <c r="A9" s="39" t="s">
        <v>14</v>
      </c>
      <c r="B9" s="39" t="s">
        <v>272</v>
      </c>
      <c r="C9" s="41">
        <v>0.03</v>
      </c>
    </row>
    <row r="10" spans="1:3">
      <c r="A10" s="39" t="s">
        <v>16</v>
      </c>
      <c r="B10" s="39" t="s">
        <v>273</v>
      </c>
      <c r="C10" s="41">
        <v>0.1</v>
      </c>
    </row>
    <row r="11" spans="1:3">
      <c r="A11" s="39" t="s">
        <v>274</v>
      </c>
      <c r="B11" s="39" t="s">
        <v>54</v>
      </c>
      <c r="C11" s="41">
        <v>0</v>
      </c>
    </row>
    <row r="12" spans="1:3">
      <c r="A12" s="39" t="s">
        <v>20</v>
      </c>
      <c r="B12" s="39" t="s">
        <v>275</v>
      </c>
      <c r="C12" s="41">
        <v>0.01</v>
      </c>
    </row>
    <row r="13" spans="1:3">
      <c r="A13" s="39" t="s">
        <v>22</v>
      </c>
      <c r="B13" s="39" t="s">
        <v>276</v>
      </c>
      <c r="C13" s="41">
        <v>7.0000000000000007E-2</v>
      </c>
    </row>
    <row r="14" spans="1:3">
      <c r="A14" s="39" t="s">
        <v>24</v>
      </c>
      <c r="B14" s="39" t="s">
        <v>146</v>
      </c>
      <c r="C14" s="42">
        <v>6.6E-3</v>
      </c>
    </row>
    <row r="15" spans="1:3">
      <c r="A15" s="39" t="s">
        <v>26</v>
      </c>
      <c r="B15" s="39" t="s">
        <v>74</v>
      </c>
      <c r="C15" s="42">
        <v>2.7000000000000001E-3</v>
      </c>
    </row>
    <row r="16" spans="1:3">
      <c r="A16" s="39" t="s">
        <v>277</v>
      </c>
      <c r="B16" s="39" t="s">
        <v>278</v>
      </c>
      <c r="C16" s="42">
        <v>2.8E-3</v>
      </c>
    </row>
    <row r="17" spans="1:3">
      <c r="A17" s="39" t="s">
        <v>30</v>
      </c>
      <c r="B17" s="39" t="s">
        <v>278</v>
      </c>
      <c r="C17" s="42">
        <v>2.8E-3</v>
      </c>
    </row>
    <row r="18" spans="1:3">
      <c r="A18" s="39" t="s">
        <v>279</v>
      </c>
      <c r="B18" s="39" t="s">
        <v>280</v>
      </c>
      <c r="C18" s="42">
        <v>5.0000000000000001E-4</v>
      </c>
    </row>
    <row r="19" spans="1:3">
      <c r="A19" s="39" t="s">
        <v>281</v>
      </c>
      <c r="B19" s="39"/>
      <c r="C19" s="39"/>
    </row>
    <row r="20" spans="1:3">
      <c r="A20" s="39" t="s">
        <v>282</v>
      </c>
      <c r="B20" s="39"/>
      <c r="C20" s="3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9706-F86B-424C-86A3-05923904B10E}">
  <dimension ref="A1:C20"/>
  <sheetViews>
    <sheetView workbookViewId="0">
      <selection activeCell="A30" sqref="A30"/>
    </sheetView>
  </sheetViews>
  <sheetFormatPr defaultRowHeight="15"/>
  <cols>
    <col min="1" max="1" width="60.42578125" customWidth="1"/>
    <col min="2" max="2" width="10.5703125" customWidth="1"/>
    <col min="3" max="3" width="14.140625" bestFit="1" customWidth="1"/>
  </cols>
  <sheetData>
    <row r="1" spans="1:3">
      <c r="A1" s="56" t="s">
        <v>283</v>
      </c>
      <c r="B1" s="57"/>
      <c r="C1" s="58"/>
    </row>
    <row r="2" spans="1:3">
      <c r="A2" s="59" t="s">
        <v>261</v>
      </c>
      <c r="B2" s="39"/>
      <c r="C2" s="60"/>
    </row>
    <row r="3" spans="1:3">
      <c r="A3" s="59" t="s">
        <v>262</v>
      </c>
      <c r="B3" s="39">
        <v>1</v>
      </c>
      <c r="C3" s="60"/>
    </row>
    <row r="4" spans="1:3">
      <c r="A4" s="59" t="s">
        <v>264</v>
      </c>
      <c r="B4" s="39" t="s">
        <v>284</v>
      </c>
      <c r="C4" s="60"/>
    </row>
    <row r="5" spans="1:3">
      <c r="A5" s="59" t="s">
        <v>285</v>
      </c>
      <c r="B5" s="39"/>
      <c r="C5" s="60" t="s">
        <v>266</v>
      </c>
    </row>
    <row r="6" spans="1:3">
      <c r="A6" s="59"/>
      <c r="B6" s="39"/>
      <c r="C6" s="60" t="s">
        <v>267</v>
      </c>
    </row>
    <row r="7" spans="1:3">
      <c r="A7" s="59" t="s">
        <v>268</v>
      </c>
      <c r="B7" s="39" t="s">
        <v>286</v>
      </c>
      <c r="C7" s="60"/>
    </row>
    <row r="8" spans="1:3">
      <c r="A8" s="59" t="s">
        <v>270</v>
      </c>
      <c r="B8" s="39" t="s">
        <v>287</v>
      </c>
      <c r="C8" s="61">
        <v>4.1000000000000002E-2</v>
      </c>
    </row>
    <row r="9" spans="1:3">
      <c r="A9" s="59" t="s">
        <v>14</v>
      </c>
      <c r="B9" s="39" t="s">
        <v>288</v>
      </c>
      <c r="C9" s="61">
        <v>1.6500000000000001E-2</v>
      </c>
    </row>
    <row r="10" spans="1:3">
      <c r="A10" s="59" t="s">
        <v>16</v>
      </c>
      <c r="B10" s="39" t="s">
        <v>289</v>
      </c>
      <c r="C10" s="61">
        <v>6.0999999999999999E-2</v>
      </c>
    </row>
    <row r="11" spans="1:3">
      <c r="A11" s="59" t="s">
        <v>274</v>
      </c>
      <c r="B11" s="39" t="s">
        <v>54</v>
      </c>
      <c r="C11" s="62">
        <v>0</v>
      </c>
    </row>
    <row r="12" spans="1:3">
      <c r="A12" s="59" t="s">
        <v>20</v>
      </c>
      <c r="B12" s="39" t="s">
        <v>290</v>
      </c>
      <c r="C12" s="62">
        <v>0</v>
      </c>
    </row>
    <row r="13" spans="1:3">
      <c r="A13" s="59" t="s">
        <v>22</v>
      </c>
      <c r="B13" s="39" t="s">
        <v>291</v>
      </c>
      <c r="C13" s="61">
        <v>0.16800000000000001</v>
      </c>
    </row>
    <row r="14" spans="1:3">
      <c r="A14" s="59" t="s">
        <v>24</v>
      </c>
      <c r="B14" s="39" t="s">
        <v>292</v>
      </c>
      <c r="C14" s="61">
        <v>2.7799999999999998E-2</v>
      </c>
    </row>
    <row r="15" spans="1:3">
      <c r="A15" s="59" t="s">
        <v>26</v>
      </c>
      <c r="B15" s="39" t="s">
        <v>293</v>
      </c>
      <c r="C15" s="61">
        <v>7.3999999999999996E-2</v>
      </c>
    </row>
    <row r="16" spans="1:3">
      <c r="A16" s="59" t="s">
        <v>277</v>
      </c>
      <c r="B16" s="39" t="s">
        <v>294</v>
      </c>
      <c r="C16" s="61">
        <v>2.2000000000000001E-3</v>
      </c>
    </row>
    <row r="17" spans="1:3">
      <c r="A17" s="59" t="s">
        <v>30</v>
      </c>
      <c r="B17" s="39" t="s">
        <v>54</v>
      </c>
      <c r="C17" s="62">
        <v>0</v>
      </c>
    </row>
    <row r="18" spans="1:3">
      <c r="A18" s="59" t="s">
        <v>279</v>
      </c>
      <c r="B18" s="39" t="s">
        <v>295</v>
      </c>
      <c r="C18" s="61">
        <v>2.3599999999999999E-2</v>
      </c>
    </row>
    <row r="19" spans="1:3">
      <c r="A19" s="59" t="s">
        <v>281</v>
      </c>
      <c r="B19" s="39"/>
      <c r="C19" s="60"/>
    </row>
    <row r="20" spans="1:3" ht="15.75" thickBot="1">
      <c r="A20" s="63" t="s">
        <v>373</v>
      </c>
      <c r="B20" s="64"/>
      <c r="C20" s="65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B484-3981-47B7-ACA4-360977C170BD}">
  <dimension ref="A1:C21"/>
  <sheetViews>
    <sheetView workbookViewId="0">
      <selection sqref="A1:C20"/>
    </sheetView>
  </sheetViews>
  <sheetFormatPr defaultRowHeight="15"/>
  <cols>
    <col min="1" max="1" width="60.5703125" customWidth="1"/>
    <col min="2" max="2" width="21.28515625" customWidth="1"/>
    <col min="3" max="3" width="23.5703125" customWidth="1"/>
  </cols>
  <sheetData>
    <row r="1" spans="1:3" ht="15.75">
      <c r="A1" s="43" t="s">
        <v>296</v>
      </c>
      <c r="B1" s="44"/>
      <c r="C1" s="45"/>
    </row>
    <row r="2" spans="1:3" ht="15.75">
      <c r="A2" s="46" t="s">
        <v>261</v>
      </c>
      <c r="B2" s="47"/>
      <c r="C2" s="48"/>
    </row>
    <row r="3" spans="1:3" ht="15.75">
      <c r="A3" s="46" t="s">
        <v>262</v>
      </c>
      <c r="B3" s="47" t="s">
        <v>297</v>
      </c>
      <c r="C3" s="48"/>
    </row>
    <row r="4" spans="1:3" ht="15.75">
      <c r="A4" s="46" t="s">
        <v>264</v>
      </c>
      <c r="B4" s="47" t="s">
        <v>37</v>
      </c>
      <c r="C4" s="48"/>
    </row>
    <row r="5" spans="1:3" ht="15.75">
      <c r="A5" s="46" t="s">
        <v>265</v>
      </c>
      <c r="B5" s="47"/>
      <c r="C5" s="48" t="s">
        <v>266</v>
      </c>
    </row>
    <row r="6" spans="1:3" ht="15.75">
      <c r="A6" s="46"/>
      <c r="B6" s="47"/>
      <c r="C6" s="48" t="s">
        <v>267</v>
      </c>
    </row>
    <row r="7" spans="1:3" ht="15.75">
      <c r="A7" s="46" t="s">
        <v>268</v>
      </c>
      <c r="B7" s="47" t="s">
        <v>298</v>
      </c>
      <c r="C7" s="48"/>
    </row>
    <row r="8" spans="1:3" ht="15.75">
      <c r="A8" s="46" t="s">
        <v>270</v>
      </c>
      <c r="B8" s="47" t="s">
        <v>31</v>
      </c>
      <c r="C8" s="49">
        <v>3.2000000000000001E-2</v>
      </c>
    </row>
    <row r="9" spans="1:3" ht="15.75">
      <c r="A9" s="46" t="s">
        <v>14</v>
      </c>
      <c r="B9" s="47" t="s">
        <v>218</v>
      </c>
      <c r="C9" s="49">
        <v>1.4E-2</v>
      </c>
    </row>
    <row r="10" spans="1:3" ht="15.75">
      <c r="A10" s="46" t="s">
        <v>16</v>
      </c>
      <c r="B10" s="47" t="s">
        <v>299</v>
      </c>
      <c r="C10" s="49">
        <v>0.05</v>
      </c>
    </row>
    <row r="11" spans="1:3" ht="15.75">
      <c r="A11" s="46" t="s">
        <v>274</v>
      </c>
      <c r="B11" s="47" t="s">
        <v>54</v>
      </c>
      <c r="C11" s="50">
        <v>0</v>
      </c>
    </row>
    <row r="12" spans="1:3" ht="15.75">
      <c r="A12" s="46" t="s">
        <v>20</v>
      </c>
      <c r="B12" s="47" t="s">
        <v>290</v>
      </c>
      <c r="C12" s="50">
        <v>0</v>
      </c>
    </row>
    <row r="13" spans="1:3" ht="15.75">
      <c r="A13" s="46" t="s">
        <v>22</v>
      </c>
      <c r="B13" s="47" t="s">
        <v>300</v>
      </c>
      <c r="C13" s="49">
        <v>7.4999999999999997E-2</v>
      </c>
    </row>
    <row r="14" spans="1:3" ht="15.75">
      <c r="A14" s="46" t="s">
        <v>24</v>
      </c>
      <c r="B14" s="47" t="s">
        <v>209</v>
      </c>
      <c r="C14" s="49">
        <v>2.5999999999999999E-2</v>
      </c>
    </row>
    <row r="15" spans="1:3" ht="15.75">
      <c r="A15" s="46" t="s">
        <v>26</v>
      </c>
      <c r="B15" s="47" t="s">
        <v>74</v>
      </c>
      <c r="C15" s="49">
        <v>3.0000000000000001E-3</v>
      </c>
    </row>
    <row r="16" spans="1:3" ht="15.75">
      <c r="A16" s="46" t="s">
        <v>277</v>
      </c>
      <c r="B16" s="47" t="s">
        <v>301</v>
      </c>
      <c r="C16" s="49">
        <v>2.5000000000000001E-2</v>
      </c>
    </row>
    <row r="17" spans="1:3" ht="15.75">
      <c r="A17" s="46" t="s">
        <v>30</v>
      </c>
      <c r="B17" s="47" t="s">
        <v>145</v>
      </c>
      <c r="C17" s="49">
        <v>2E-3</v>
      </c>
    </row>
    <row r="18" spans="1:3" ht="15.75">
      <c r="A18" s="46" t="s">
        <v>279</v>
      </c>
      <c r="B18" s="47" t="s">
        <v>74</v>
      </c>
      <c r="C18" s="49">
        <v>1E-3</v>
      </c>
    </row>
    <row r="19" spans="1:3" ht="15.75">
      <c r="A19" s="46" t="s">
        <v>281</v>
      </c>
      <c r="B19" s="47"/>
      <c r="C19" s="48"/>
    </row>
    <row r="20" spans="1:3" ht="16.5" thickBot="1">
      <c r="A20" s="51" t="s">
        <v>282</v>
      </c>
      <c r="B20" s="52"/>
      <c r="C20" s="53"/>
    </row>
    <row r="21" spans="1:3">
      <c r="A21" s="38"/>
      <c r="B21" s="38"/>
      <c r="C21" s="3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D800-E2D3-4D2B-9303-EC2DA8A1140E}">
  <dimension ref="A1:C20"/>
  <sheetViews>
    <sheetView workbookViewId="0">
      <selection sqref="A1:C20"/>
    </sheetView>
  </sheetViews>
  <sheetFormatPr defaultRowHeight="15"/>
  <cols>
    <col min="1" max="1" width="61" customWidth="1"/>
    <col min="2" max="2" width="19.42578125" customWidth="1"/>
    <col min="3" max="3" width="18.85546875" customWidth="1"/>
  </cols>
  <sheetData>
    <row r="1" spans="1:3" ht="15.75">
      <c r="A1" s="47" t="s">
        <v>302</v>
      </c>
      <c r="B1" s="47"/>
      <c r="C1" s="47"/>
    </row>
    <row r="2" spans="1:3" ht="15.75">
      <c r="A2" s="47" t="s">
        <v>261</v>
      </c>
      <c r="B2" s="47"/>
      <c r="C2" s="47"/>
    </row>
    <row r="3" spans="1:3" ht="15.75">
      <c r="A3" s="47" t="s">
        <v>262</v>
      </c>
      <c r="B3" s="47" t="s">
        <v>297</v>
      </c>
      <c r="C3" s="47"/>
    </row>
    <row r="4" spans="1:3" ht="15.75">
      <c r="A4" s="47" t="s">
        <v>264</v>
      </c>
      <c r="B4" s="47" t="s">
        <v>37</v>
      </c>
      <c r="C4" s="47"/>
    </row>
    <row r="5" spans="1:3" ht="15.75">
      <c r="A5" s="47" t="s">
        <v>265</v>
      </c>
      <c r="B5" s="47"/>
      <c r="C5" s="47" t="s">
        <v>266</v>
      </c>
    </row>
    <row r="6" spans="1:3" ht="15.75">
      <c r="A6" s="47"/>
      <c r="B6" s="47"/>
      <c r="C6" s="47" t="s">
        <v>267</v>
      </c>
    </row>
    <row r="7" spans="1:3" ht="15.75">
      <c r="A7" s="47" t="s">
        <v>268</v>
      </c>
      <c r="B7" s="47" t="s">
        <v>303</v>
      </c>
      <c r="C7" s="47"/>
    </row>
    <row r="8" spans="1:3" ht="15.75">
      <c r="A8" s="47" t="s">
        <v>270</v>
      </c>
      <c r="B8" s="47" t="s">
        <v>304</v>
      </c>
      <c r="C8" s="54">
        <v>5.0000000000000001E-3</v>
      </c>
    </row>
    <row r="9" spans="1:3" ht="15.75">
      <c r="A9" s="47" t="s">
        <v>14</v>
      </c>
      <c r="B9" s="47" t="s">
        <v>106</v>
      </c>
      <c r="C9" s="54">
        <v>1E-3</v>
      </c>
    </row>
    <row r="10" spans="1:3" ht="15.75">
      <c r="A10" s="47" t="s">
        <v>16</v>
      </c>
      <c r="B10" s="47" t="s">
        <v>305</v>
      </c>
      <c r="C10" s="54">
        <v>8.0000000000000002E-3</v>
      </c>
    </row>
    <row r="11" spans="1:3" ht="15.75">
      <c r="A11" s="47" t="s">
        <v>274</v>
      </c>
      <c r="B11" s="47" t="s">
        <v>54</v>
      </c>
      <c r="C11" s="55">
        <v>0</v>
      </c>
    </row>
    <row r="12" spans="1:3" ht="15.75">
      <c r="A12" s="47" t="s">
        <v>20</v>
      </c>
      <c r="B12" s="47" t="s">
        <v>290</v>
      </c>
      <c r="C12" s="55">
        <v>0</v>
      </c>
    </row>
    <row r="13" spans="1:3" ht="15.75">
      <c r="A13" s="47" t="s">
        <v>22</v>
      </c>
      <c r="B13" s="47" t="s">
        <v>158</v>
      </c>
      <c r="C13" s="55">
        <v>0.09</v>
      </c>
    </row>
    <row r="14" spans="1:3" ht="15.75">
      <c r="A14" s="47" t="s">
        <v>24</v>
      </c>
      <c r="B14" s="47" t="s">
        <v>306</v>
      </c>
      <c r="C14" s="54">
        <v>3.2000000000000001E-2</v>
      </c>
    </row>
    <row r="15" spans="1:3" ht="15.75">
      <c r="A15" s="47" t="s">
        <v>26</v>
      </c>
      <c r="B15" s="47" t="s">
        <v>305</v>
      </c>
      <c r="C15" s="54">
        <v>6.0000000000000001E-3</v>
      </c>
    </row>
    <row r="16" spans="1:3" ht="15.75">
      <c r="A16" s="47" t="s">
        <v>277</v>
      </c>
      <c r="B16" s="47" t="s">
        <v>307</v>
      </c>
      <c r="C16" s="54">
        <v>2.9000000000000001E-2</v>
      </c>
    </row>
    <row r="17" spans="1:3" ht="15.75">
      <c r="A17" s="47" t="s">
        <v>30</v>
      </c>
      <c r="B17" s="47" t="s">
        <v>160</v>
      </c>
      <c r="C17" s="54">
        <v>8.9999999999999993E-3</v>
      </c>
    </row>
    <row r="18" spans="1:3" ht="15.75">
      <c r="A18" s="47" t="s">
        <v>279</v>
      </c>
      <c r="B18" s="47" t="s">
        <v>85</v>
      </c>
      <c r="C18" s="54">
        <v>2E-3</v>
      </c>
    </row>
    <row r="19" spans="1:3" ht="15.75">
      <c r="A19" s="47" t="s">
        <v>281</v>
      </c>
      <c r="B19" s="47"/>
      <c r="C19" s="47"/>
    </row>
    <row r="20" spans="1:3" ht="15.75">
      <c r="A20" s="47" t="s">
        <v>282</v>
      </c>
      <c r="B20" s="47"/>
      <c r="C20" s="4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9110-23A8-4184-B021-F74C4C5F822C}">
  <dimension ref="A1:C20"/>
  <sheetViews>
    <sheetView topLeftCell="B3" workbookViewId="0">
      <selection activeCell="C1" sqref="C1"/>
    </sheetView>
  </sheetViews>
  <sheetFormatPr defaultRowHeight="15"/>
  <cols>
    <col min="1" max="1" width="60" customWidth="1"/>
    <col min="2" max="2" width="12.140625" customWidth="1"/>
    <col min="3" max="3" width="14.28515625" customWidth="1"/>
  </cols>
  <sheetData>
    <row r="1" spans="1:3" ht="15.75">
      <c r="A1" s="43" t="s">
        <v>308</v>
      </c>
      <c r="B1" s="44"/>
      <c r="C1" s="45"/>
    </row>
    <row r="2" spans="1:3" ht="15.75">
      <c r="A2" s="46" t="s">
        <v>261</v>
      </c>
      <c r="B2" s="47"/>
      <c r="C2" s="48"/>
    </row>
    <row r="3" spans="1:3" ht="15.75">
      <c r="A3" s="46" t="s">
        <v>262</v>
      </c>
      <c r="B3" s="47" t="s">
        <v>297</v>
      </c>
      <c r="C3" s="48"/>
    </row>
    <row r="4" spans="1:3" ht="15.75">
      <c r="A4" s="46" t="s">
        <v>264</v>
      </c>
      <c r="B4" s="47" t="s">
        <v>37</v>
      </c>
      <c r="C4" s="48"/>
    </row>
    <row r="5" spans="1:3" ht="15.75">
      <c r="A5" s="46" t="s">
        <v>265</v>
      </c>
      <c r="B5" s="47"/>
      <c r="C5" s="48" t="s">
        <v>266</v>
      </c>
    </row>
    <row r="6" spans="1:3" ht="15.75">
      <c r="A6" s="46"/>
      <c r="B6" s="47"/>
      <c r="C6" s="48" t="s">
        <v>267</v>
      </c>
    </row>
    <row r="7" spans="1:3" ht="15.75">
      <c r="A7" s="46" t="s">
        <v>268</v>
      </c>
      <c r="B7" s="47" t="s">
        <v>309</v>
      </c>
      <c r="C7" s="48"/>
    </row>
    <row r="8" spans="1:3" ht="15.75">
      <c r="A8" s="46" t="s">
        <v>270</v>
      </c>
      <c r="B8" s="47" t="s">
        <v>85</v>
      </c>
      <c r="C8" s="49">
        <v>5.0000000000000001E-3</v>
      </c>
    </row>
    <row r="9" spans="1:3" ht="15.75">
      <c r="A9" s="46" t="s">
        <v>14</v>
      </c>
      <c r="B9" s="47" t="s">
        <v>108</v>
      </c>
      <c r="C9" s="49">
        <v>2.0000000000000001E-4</v>
      </c>
    </row>
    <row r="10" spans="1:3" ht="15.75">
      <c r="A10" s="46" t="s">
        <v>16</v>
      </c>
      <c r="B10" s="47" t="s">
        <v>305</v>
      </c>
      <c r="C10" s="50">
        <v>0.01</v>
      </c>
    </row>
    <row r="11" spans="1:3" ht="15.75">
      <c r="A11" s="46" t="s">
        <v>274</v>
      </c>
      <c r="B11" s="47" t="s">
        <v>54</v>
      </c>
      <c r="C11" s="50">
        <v>0</v>
      </c>
    </row>
    <row r="12" spans="1:3" ht="15.75">
      <c r="A12" s="46" t="s">
        <v>20</v>
      </c>
      <c r="B12" s="47" t="s">
        <v>290</v>
      </c>
      <c r="C12" s="50">
        <v>0</v>
      </c>
    </row>
    <row r="13" spans="1:3" ht="15.75">
      <c r="A13" s="46" t="s">
        <v>22</v>
      </c>
      <c r="B13" s="47" t="s">
        <v>44</v>
      </c>
      <c r="C13" s="50">
        <v>0.08</v>
      </c>
    </row>
    <row r="14" spans="1:3" ht="15.75">
      <c r="A14" s="46" t="s">
        <v>24</v>
      </c>
      <c r="B14" s="47" t="s">
        <v>310</v>
      </c>
      <c r="C14" s="49">
        <v>3.3399999999999999E-2</v>
      </c>
    </row>
    <row r="15" spans="1:3" ht="15.75">
      <c r="A15" s="46" t="s">
        <v>26</v>
      </c>
      <c r="B15" s="47" t="s">
        <v>311</v>
      </c>
      <c r="C15" s="49">
        <v>1.1999999999999999E-3</v>
      </c>
    </row>
    <row r="16" spans="1:3" ht="15.75">
      <c r="A16" s="46" t="s">
        <v>277</v>
      </c>
      <c r="B16" s="47" t="s">
        <v>312</v>
      </c>
      <c r="C16" s="50">
        <v>0.16</v>
      </c>
    </row>
    <row r="17" spans="1:3" ht="15.75">
      <c r="A17" s="46" t="s">
        <v>30</v>
      </c>
      <c r="B17" s="47" t="s">
        <v>312</v>
      </c>
      <c r="C17" s="50">
        <v>0.16</v>
      </c>
    </row>
    <row r="18" spans="1:3" ht="15.75">
      <c r="A18" s="46" t="s">
        <v>279</v>
      </c>
      <c r="B18" s="47" t="s">
        <v>313</v>
      </c>
      <c r="C18" s="49">
        <v>1E-4</v>
      </c>
    </row>
    <row r="19" spans="1:3" ht="15.75">
      <c r="A19" s="46" t="s">
        <v>281</v>
      </c>
      <c r="B19" s="47"/>
      <c r="C19" s="48"/>
    </row>
    <row r="20" spans="1:3" ht="16.5" thickBot="1">
      <c r="A20" s="51" t="s">
        <v>282</v>
      </c>
      <c r="B20" s="52"/>
      <c r="C20" s="5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BAE5-A8E1-4AF4-ABBF-1E743C80D5B3}">
  <dimension ref="A1:C20"/>
  <sheetViews>
    <sheetView workbookViewId="0">
      <selection sqref="A1:C20"/>
    </sheetView>
  </sheetViews>
  <sheetFormatPr defaultRowHeight="15"/>
  <cols>
    <col min="1" max="1" width="61.140625" bestFit="1" customWidth="1"/>
    <col min="2" max="2" width="23.42578125" customWidth="1"/>
    <col min="3" max="3" width="14" customWidth="1"/>
  </cols>
  <sheetData>
    <row r="1" spans="1:3" ht="15.75">
      <c r="A1" s="43" t="s">
        <v>314</v>
      </c>
      <c r="B1" s="44"/>
      <c r="C1" s="45"/>
    </row>
    <row r="2" spans="1:3" ht="15.75">
      <c r="A2" s="46" t="s">
        <v>261</v>
      </c>
      <c r="B2" s="47"/>
      <c r="C2" s="48"/>
    </row>
    <row r="3" spans="1:3" ht="15.75">
      <c r="A3" s="46" t="s">
        <v>262</v>
      </c>
      <c r="B3" s="47">
        <v>17</v>
      </c>
      <c r="C3" s="48"/>
    </row>
    <row r="4" spans="1:3" ht="15.75">
      <c r="A4" s="46" t="s">
        <v>264</v>
      </c>
      <c r="B4" s="47" t="s">
        <v>37</v>
      </c>
      <c r="C4" s="48"/>
    </row>
    <row r="5" spans="1:3" ht="15.75">
      <c r="A5" s="46" t="s">
        <v>265</v>
      </c>
      <c r="B5" s="47"/>
      <c r="C5" s="48" t="s">
        <v>266</v>
      </c>
    </row>
    <row r="6" spans="1:3" ht="15.75">
      <c r="A6" s="46"/>
      <c r="B6" s="47"/>
      <c r="C6" s="48" t="s">
        <v>267</v>
      </c>
    </row>
    <row r="7" spans="1:3" ht="15.75">
      <c r="A7" s="46" t="s">
        <v>268</v>
      </c>
      <c r="B7" s="47" t="s">
        <v>315</v>
      </c>
      <c r="C7" s="48"/>
    </row>
    <row r="8" spans="1:3" ht="15.75">
      <c r="A8" s="46" t="s">
        <v>270</v>
      </c>
      <c r="B8" s="47" t="s">
        <v>117</v>
      </c>
      <c r="C8" s="49">
        <v>7.3999999999999996E-2</v>
      </c>
    </row>
    <row r="9" spans="1:3" ht="15.75">
      <c r="A9" s="46" t="s">
        <v>14</v>
      </c>
      <c r="B9" s="47" t="s">
        <v>113</v>
      </c>
      <c r="C9" s="49">
        <v>3.4000000000000002E-2</v>
      </c>
    </row>
    <row r="10" spans="1:3" ht="15.75">
      <c r="A10" s="46" t="s">
        <v>16</v>
      </c>
      <c r="B10" s="47" t="s">
        <v>114</v>
      </c>
      <c r="C10" s="50">
        <v>0.11</v>
      </c>
    </row>
    <row r="11" spans="1:3" ht="15.75">
      <c r="A11" s="46" t="s">
        <v>274</v>
      </c>
      <c r="B11" s="47" t="s">
        <v>54</v>
      </c>
      <c r="C11" s="50">
        <v>0</v>
      </c>
    </row>
    <row r="12" spans="1:3" ht="15.75">
      <c r="A12" s="46" t="s">
        <v>20</v>
      </c>
      <c r="B12" s="47" t="s">
        <v>316</v>
      </c>
      <c r="C12" s="49">
        <v>1.9E-2</v>
      </c>
    </row>
    <row r="13" spans="1:3" ht="15.75">
      <c r="A13" s="46" t="s">
        <v>22</v>
      </c>
      <c r="B13" s="47" t="s">
        <v>317</v>
      </c>
      <c r="C13" s="49">
        <v>5.6000000000000001E-2</v>
      </c>
    </row>
    <row r="14" spans="1:3" ht="15.75">
      <c r="A14" s="46" t="s">
        <v>24</v>
      </c>
      <c r="B14" s="47" t="s">
        <v>271</v>
      </c>
      <c r="C14" s="49">
        <v>1.44E-2</v>
      </c>
    </row>
    <row r="15" spans="1:3" ht="15.75">
      <c r="A15" s="46" t="s">
        <v>26</v>
      </c>
      <c r="B15" s="47" t="s">
        <v>159</v>
      </c>
      <c r="C15" s="49">
        <v>2.3999999999999998E-3</v>
      </c>
    </row>
    <row r="16" spans="1:3" ht="15.75">
      <c r="A16" s="46" t="s">
        <v>277</v>
      </c>
      <c r="B16" s="47" t="s">
        <v>318</v>
      </c>
      <c r="C16" s="49">
        <v>1.1599999999999999E-2</v>
      </c>
    </row>
    <row r="17" spans="1:3" ht="15.75">
      <c r="A17" s="46" t="s">
        <v>30</v>
      </c>
      <c r="B17" s="47" t="s">
        <v>318</v>
      </c>
      <c r="C17" s="49">
        <v>1.1599999999999999E-2</v>
      </c>
    </row>
    <row r="18" spans="1:3" ht="15.75">
      <c r="A18" s="46" t="s">
        <v>279</v>
      </c>
      <c r="B18" s="47" t="s">
        <v>27</v>
      </c>
      <c r="C18" s="49">
        <v>5.9999999999999995E-4</v>
      </c>
    </row>
    <row r="19" spans="1:3" ht="15.75">
      <c r="A19" s="46" t="s">
        <v>281</v>
      </c>
      <c r="B19" s="47"/>
      <c r="C19" s="48"/>
    </row>
    <row r="20" spans="1:3" ht="16.5" thickBot="1">
      <c r="A20" s="51" t="s">
        <v>282</v>
      </c>
      <c r="B20" s="52"/>
      <c r="C20" s="5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C013-AC3A-4E5F-AD92-5969A72189D5}">
  <dimension ref="A1:C20"/>
  <sheetViews>
    <sheetView workbookViewId="0">
      <selection sqref="A1:C20"/>
    </sheetView>
  </sheetViews>
  <sheetFormatPr defaultRowHeight="15"/>
  <cols>
    <col min="1" max="1" width="61.140625" bestFit="1" customWidth="1"/>
    <col min="2" max="2" width="26.42578125" customWidth="1"/>
    <col min="3" max="3" width="20.42578125" customWidth="1"/>
  </cols>
  <sheetData>
    <row r="1" spans="1:3" ht="15.75">
      <c r="A1" s="43" t="s">
        <v>319</v>
      </c>
      <c r="B1" s="44"/>
      <c r="C1" s="45"/>
    </row>
    <row r="2" spans="1:3" ht="15.75">
      <c r="A2" s="46" t="s">
        <v>261</v>
      </c>
      <c r="B2" s="47"/>
      <c r="C2" s="48"/>
    </row>
    <row r="3" spans="1:3" ht="15.75">
      <c r="A3" s="46" t="s">
        <v>262</v>
      </c>
      <c r="B3" s="47">
        <v>19</v>
      </c>
      <c r="C3" s="48"/>
    </row>
    <row r="4" spans="1:3" ht="15.75">
      <c r="A4" s="46" t="s">
        <v>264</v>
      </c>
      <c r="B4" s="47" t="s">
        <v>37</v>
      </c>
      <c r="C4" s="48"/>
    </row>
    <row r="5" spans="1:3" ht="15.75">
      <c r="A5" s="46" t="s">
        <v>265</v>
      </c>
      <c r="B5" s="47"/>
      <c r="C5" s="48" t="s">
        <v>266</v>
      </c>
    </row>
    <row r="6" spans="1:3" ht="15.75">
      <c r="A6" s="46"/>
      <c r="B6" s="47"/>
      <c r="C6" s="48" t="s">
        <v>267</v>
      </c>
    </row>
    <row r="7" spans="1:3" ht="15.75">
      <c r="A7" s="46" t="s">
        <v>268</v>
      </c>
      <c r="B7" s="47" t="s">
        <v>320</v>
      </c>
      <c r="C7" s="48"/>
    </row>
    <row r="8" spans="1:3" ht="15.75">
      <c r="A8" s="46" t="s">
        <v>270</v>
      </c>
      <c r="B8" s="47" t="s">
        <v>106</v>
      </c>
      <c r="C8" s="49">
        <v>3.6000000000000002E-4</v>
      </c>
    </row>
    <row r="9" spans="1:3" ht="15.75">
      <c r="A9" s="46" t="s">
        <v>14</v>
      </c>
      <c r="B9" s="47" t="s">
        <v>321</v>
      </c>
      <c r="C9" s="49">
        <v>2.3000000000000001E-4</v>
      </c>
    </row>
    <row r="10" spans="1:3" ht="15.75">
      <c r="A10" s="46" t="s">
        <v>16</v>
      </c>
      <c r="B10" s="47" t="s">
        <v>58</v>
      </c>
      <c r="C10" s="49">
        <v>2.9999999999999997E-4</v>
      </c>
    </row>
    <row r="11" spans="1:3" ht="15.75">
      <c r="A11" s="46" t="s">
        <v>274</v>
      </c>
      <c r="B11" s="47" t="s">
        <v>54</v>
      </c>
      <c r="C11" s="50">
        <v>0</v>
      </c>
    </row>
    <row r="12" spans="1:3" ht="15.75">
      <c r="A12" s="46" t="s">
        <v>20</v>
      </c>
      <c r="B12" s="47" t="s">
        <v>322</v>
      </c>
      <c r="C12" s="50">
        <v>0.01</v>
      </c>
    </row>
    <row r="13" spans="1:3" ht="15.75">
      <c r="A13" s="46" t="s">
        <v>22</v>
      </c>
      <c r="B13" s="47" t="s">
        <v>323</v>
      </c>
      <c r="C13" s="49">
        <v>8.7999999999999995E-2</v>
      </c>
    </row>
    <row r="14" spans="1:3" ht="15.75">
      <c r="A14" s="46" t="s">
        <v>24</v>
      </c>
      <c r="B14" s="47" t="s">
        <v>324</v>
      </c>
      <c r="C14" s="49">
        <v>2.24E-2</v>
      </c>
    </row>
    <row r="15" spans="1:3" ht="15.75">
      <c r="A15" s="46" t="s">
        <v>26</v>
      </c>
      <c r="B15" s="47" t="s">
        <v>325</v>
      </c>
      <c r="C15" s="49">
        <v>6.2E-2</v>
      </c>
    </row>
    <row r="16" spans="1:3" ht="15.75">
      <c r="A16" s="46" t="s">
        <v>277</v>
      </c>
      <c r="B16" s="47" t="s">
        <v>195</v>
      </c>
      <c r="C16" s="50">
        <v>0.02</v>
      </c>
    </row>
    <row r="17" spans="1:3" ht="15.75">
      <c r="A17" s="46" t="s">
        <v>30</v>
      </c>
      <c r="B17" s="47" t="s">
        <v>47</v>
      </c>
      <c r="C17" s="49">
        <v>1.7999999999999999E-2</v>
      </c>
    </row>
    <row r="18" spans="1:3" ht="15.75">
      <c r="A18" s="46" t="s">
        <v>279</v>
      </c>
      <c r="B18" s="47" t="s">
        <v>326</v>
      </c>
      <c r="C18" s="49">
        <v>1.5E-3</v>
      </c>
    </row>
    <row r="19" spans="1:3" ht="15.75">
      <c r="A19" s="46" t="s">
        <v>281</v>
      </c>
      <c r="B19" s="47"/>
      <c r="C19" s="48"/>
    </row>
    <row r="20" spans="1:3" ht="16.5" thickBot="1">
      <c r="A20" s="51" t="s">
        <v>282</v>
      </c>
      <c r="B20" s="52"/>
      <c r="C20" s="53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2411-1241-490C-943B-1A86164892E6}">
  <dimension ref="A1:C20"/>
  <sheetViews>
    <sheetView topLeftCell="B2" workbookViewId="0">
      <selection activeCell="F7" sqref="F7"/>
    </sheetView>
  </sheetViews>
  <sheetFormatPr defaultRowHeight="15"/>
  <cols>
    <col min="1" max="1" width="59.85546875" customWidth="1"/>
    <col min="2" max="2" width="12.85546875" customWidth="1"/>
    <col min="3" max="3" width="15" customWidth="1"/>
  </cols>
  <sheetData>
    <row r="1" spans="1:3">
      <c r="A1" s="56" t="s">
        <v>327</v>
      </c>
      <c r="B1" s="57"/>
      <c r="C1" s="58"/>
    </row>
    <row r="2" spans="1:3">
      <c r="A2" s="59" t="s">
        <v>261</v>
      </c>
      <c r="B2" s="39"/>
      <c r="C2" s="60"/>
    </row>
    <row r="3" spans="1:3">
      <c r="A3" s="59" t="s">
        <v>262</v>
      </c>
      <c r="B3" s="39" t="s">
        <v>297</v>
      </c>
      <c r="C3" s="60"/>
    </row>
    <row r="4" spans="1:3">
      <c r="A4" s="59" t="s">
        <v>264</v>
      </c>
      <c r="B4" s="39" t="s">
        <v>37</v>
      </c>
      <c r="C4" s="60"/>
    </row>
    <row r="5" spans="1:3">
      <c r="A5" s="59" t="s">
        <v>265</v>
      </c>
      <c r="B5" s="39"/>
      <c r="C5" s="60" t="s">
        <v>266</v>
      </c>
    </row>
    <row r="6" spans="1:3">
      <c r="A6" s="59"/>
      <c r="B6" s="39"/>
      <c r="C6" s="60" t="s">
        <v>267</v>
      </c>
    </row>
    <row r="7" spans="1:3">
      <c r="A7" s="59" t="s">
        <v>268</v>
      </c>
      <c r="B7" s="39" t="s">
        <v>328</v>
      </c>
      <c r="C7" s="60"/>
    </row>
    <row r="8" spans="1:3">
      <c r="A8" s="59" t="s">
        <v>270</v>
      </c>
      <c r="B8" s="39" t="s">
        <v>119</v>
      </c>
      <c r="C8" s="61">
        <v>5.8000000000000003E-2</v>
      </c>
    </row>
    <row r="9" spans="1:3">
      <c r="A9" s="59" t="s">
        <v>14</v>
      </c>
      <c r="B9" s="39" t="s">
        <v>101</v>
      </c>
      <c r="C9" s="62">
        <v>0.03</v>
      </c>
    </row>
    <row r="10" spans="1:3">
      <c r="A10" s="59" t="s">
        <v>16</v>
      </c>
      <c r="B10" s="39" t="s">
        <v>329</v>
      </c>
      <c r="C10" s="61">
        <v>8.5000000000000006E-2</v>
      </c>
    </row>
    <row r="11" spans="1:3">
      <c r="A11" s="59" t="s">
        <v>274</v>
      </c>
      <c r="B11" s="39" t="s">
        <v>54</v>
      </c>
      <c r="C11" s="62">
        <v>0</v>
      </c>
    </row>
    <row r="12" spans="1:3">
      <c r="A12" s="59" t="s">
        <v>20</v>
      </c>
      <c r="B12" s="39" t="s">
        <v>330</v>
      </c>
      <c r="C12" s="61">
        <v>1.2999999999999999E-2</v>
      </c>
    </row>
    <row r="13" spans="1:3">
      <c r="A13" s="59" t="s">
        <v>22</v>
      </c>
      <c r="B13" s="39" t="s">
        <v>331</v>
      </c>
      <c r="C13" s="61">
        <v>9.2999999999999999E-2</v>
      </c>
    </row>
    <row r="14" spans="1:3">
      <c r="A14" s="59" t="s">
        <v>24</v>
      </c>
      <c r="B14" s="39" t="s">
        <v>332</v>
      </c>
      <c r="C14" s="61">
        <v>1.7999999999999999E-2</v>
      </c>
    </row>
    <row r="15" spans="1:3">
      <c r="A15" s="59" t="s">
        <v>26</v>
      </c>
      <c r="B15" s="39" t="s">
        <v>27</v>
      </c>
      <c r="C15" s="61">
        <v>2.2000000000000001E-3</v>
      </c>
    </row>
    <row r="16" spans="1:3">
      <c r="A16" s="59" t="s">
        <v>277</v>
      </c>
      <c r="B16" s="39" t="s">
        <v>136</v>
      </c>
      <c r="C16" s="61">
        <v>5.1999999999999998E-2</v>
      </c>
    </row>
    <row r="17" spans="1:3">
      <c r="A17" s="59" t="s">
        <v>30</v>
      </c>
      <c r="B17" s="39" t="s">
        <v>105</v>
      </c>
      <c r="C17" s="61">
        <v>8.0000000000000002E-3</v>
      </c>
    </row>
    <row r="18" spans="1:3">
      <c r="A18" s="59" t="s">
        <v>279</v>
      </c>
      <c r="B18" s="39" t="s">
        <v>118</v>
      </c>
      <c r="C18" s="61">
        <v>2E-3</v>
      </c>
    </row>
    <row r="19" spans="1:3">
      <c r="A19" s="59" t="s">
        <v>281</v>
      </c>
      <c r="B19" s="39"/>
      <c r="C19" s="60"/>
    </row>
    <row r="20" spans="1:3" ht="15.75" thickBot="1">
      <c r="A20" s="63" t="s">
        <v>282</v>
      </c>
      <c r="B20" s="64"/>
      <c r="C20" s="65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4E1E-2595-4AC2-A0C7-B73333640454}">
  <dimension ref="A1:D20"/>
  <sheetViews>
    <sheetView workbookViewId="0">
      <selection activeCell="C8" sqref="C8"/>
    </sheetView>
  </sheetViews>
  <sheetFormatPr defaultRowHeight="15"/>
  <cols>
    <col min="1" max="1" width="53" customWidth="1"/>
    <col min="2" max="2" width="13.5703125" customWidth="1"/>
    <col min="3" max="3" width="12.5703125" customWidth="1"/>
    <col min="4" max="4" width="23.28515625" customWidth="1"/>
  </cols>
  <sheetData>
    <row r="1" spans="1:4" ht="28.5" customHeight="1">
      <c r="A1" s="372" t="s">
        <v>401</v>
      </c>
      <c r="B1" s="373"/>
      <c r="C1" s="373"/>
      <c r="D1" s="374"/>
    </row>
    <row r="2" spans="1:4" ht="15.75">
      <c r="A2" s="207" t="s">
        <v>261</v>
      </c>
      <c r="B2" s="207"/>
      <c r="C2" s="207"/>
      <c r="D2" s="207"/>
    </row>
    <row r="3" spans="1:4" ht="15.75">
      <c r="A3" s="207" t="s">
        <v>262</v>
      </c>
      <c r="B3" s="207" t="s">
        <v>297</v>
      </c>
      <c r="C3" s="207"/>
      <c r="D3" s="207"/>
    </row>
    <row r="4" spans="1:4" ht="15.75">
      <c r="A4" s="207" t="s">
        <v>264</v>
      </c>
      <c r="B4" s="207" t="s">
        <v>37</v>
      </c>
      <c r="C4" s="207"/>
      <c r="D4" s="207"/>
    </row>
    <row r="5" spans="1:4" ht="30" customHeight="1">
      <c r="A5" s="381" t="s">
        <v>265</v>
      </c>
      <c r="B5" s="381"/>
      <c r="C5" s="381"/>
      <c r="D5" s="207" t="s">
        <v>266</v>
      </c>
    </row>
    <row r="6" spans="1:4" ht="15.75">
      <c r="A6" s="381"/>
      <c r="B6" s="381"/>
      <c r="C6" s="381"/>
      <c r="D6" s="207" t="s">
        <v>267</v>
      </c>
    </row>
    <row r="7" spans="1:4" ht="15.75">
      <c r="A7" s="207" t="s">
        <v>268</v>
      </c>
      <c r="B7" s="207">
        <v>22.37</v>
      </c>
      <c r="C7" s="207" t="s">
        <v>381</v>
      </c>
      <c r="D7" s="207"/>
    </row>
    <row r="8" spans="1:4" ht="15.75">
      <c r="A8" s="207" t="s">
        <v>270</v>
      </c>
      <c r="B8" s="207">
        <v>0.12</v>
      </c>
      <c r="C8" s="207" t="s">
        <v>382</v>
      </c>
      <c r="D8" s="208">
        <v>2.0999999999999999E-3</v>
      </c>
    </row>
    <row r="9" spans="1:4" ht="15.75">
      <c r="A9" s="207" t="s">
        <v>14</v>
      </c>
      <c r="B9" s="207">
        <v>0.01</v>
      </c>
      <c r="C9" s="207" t="s">
        <v>382</v>
      </c>
      <c r="D9" s="208">
        <v>4.0000000000000002E-4</v>
      </c>
    </row>
    <row r="10" spans="1:4" ht="15.75">
      <c r="A10" s="207" t="s">
        <v>16</v>
      </c>
      <c r="B10" s="207">
        <v>0.11</v>
      </c>
      <c r="C10" s="207" t="s">
        <v>382</v>
      </c>
      <c r="D10" s="208">
        <v>3.5999999999999999E-3</v>
      </c>
    </row>
    <row r="11" spans="1:4" ht="15.75">
      <c r="A11" s="207" t="s">
        <v>274</v>
      </c>
      <c r="B11" s="207">
        <v>0</v>
      </c>
      <c r="C11" s="207" t="s">
        <v>382</v>
      </c>
      <c r="D11" s="209">
        <v>0</v>
      </c>
    </row>
    <row r="12" spans="1:4" ht="15.75">
      <c r="A12" s="207" t="s">
        <v>20</v>
      </c>
      <c r="B12" s="207">
        <v>1.47</v>
      </c>
      <c r="C12" s="207" t="s">
        <v>383</v>
      </c>
      <c r="D12" s="208">
        <v>4.8999999999999998E-3</v>
      </c>
    </row>
    <row r="13" spans="1:4" ht="15.75">
      <c r="A13" s="207" t="s">
        <v>22</v>
      </c>
      <c r="B13" s="207">
        <v>191.28</v>
      </c>
      <c r="C13" s="207" t="s">
        <v>383</v>
      </c>
      <c r="D13" s="208">
        <v>9.5600000000000004E-2</v>
      </c>
    </row>
    <row r="14" spans="1:4" ht="15.75">
      <c r="A14" s="207" t="s">
        <v>24</v>
      </c>
      <c r="B14" s="207">
        <v>5.16</v>
      </c>
      <c r="C14" s="207" t="s">
        <v>382</v>
      </c>
      <c r="D14" s="208">
        <v>2.06E-2</v>
      </c>
    </row>
    <row r="15" spans="1:4" ht="15.75">
      <c r="A15" s="207" t="s">
        <v>26</v>
      </c>
      <c r="B15" s="207">
        <v>0.2</v>
      </c>
      <c r="C15" s="207" t="s">
        <v>382</v>
      </c>
      <c r="D15" s="208">
        <v>5.4999999999999997E-3</v>
      </c>
    </row>
    <row r="16" spans="1:4" ht="15.75">
      <c r="A16" s="207" t="s">
        <v>277</v>
      </c>
      <c r="B16" s="207">
        <v>4.22</v>
      </c>
      <c r="C16" s="207" t="s">
        <v>382</v>
      </c>
      <c r="D16" s="208">
        <v>1.6899999999999998E-2</v>
      </c>
    </row>
    <row r="17" spans="1:4" ht="15.75">
      <c r="A17" s="207" t="s">
        <v>30</v>
      </c>
      <c r="B17" s="207">
        <v>3.95</v>
      </c>
      <c r="C17" s="207" t="s">
        <v>382</v>
      </c>
      <c r="D17" s="208">
        <v>1.5800000000000002E-2</v>
      </c>
    </row>
    <row r="18" spans="1:4" ht="15.75">
      <c r="A18" s="207" t="s">
        <v>279</v>
      </c>
      <c r="B18" s="207">
        <v>0.17</v>
      </c>
      <c r="C18" s="207" t="s">
        <v>382</v>
      </c>
      <c r="D18" s="208">
        <v>1.2999999999999999E-3</v>
      </c>
    </row>
    <row r="19" spans="1:4" ht="37.5" customHeight="1">
      <c r="A19" s="375" t="s">
        <v>402</v>
      </c>
      <c r="B19" s="376"/>
      <c r="C19" s="376"/>
      <c r="D19" s="377"/>
    </row>
    <row r="20" spans="1:4" ht="15.75" thickBot="1">
      <c r="A20" s="378"/>
      <c r="B20" s="379"/>
      <c r="C20" s="379"/>
      <c r="D20" s="380"/>
    </row>
  </sheetData>
  <mergeCells count="5">
    <mergeCell ref="A1:D1"/>
    <mergeCell ref="A19:D20"/>
    <mergeCell ref="A5:A6"/>
    <mergeCell ref="B5:B6"/>
    <mergeCell ref="C5:C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9A09-37F3-4FB1-8B3D-2F2BC0093084}">
  <dimension ref="A1:D19"/>
  <sheetViews>
    <sheetView workbookViewId="0">
      <selection activeCell="J25" sqref="J25"/>
    </sheetView>
  </sheetViews>
  <sheetFormatPr defaultRowHeight="15"/>
  <cols>
    <col min="1" max="1" width="27" customWidth="1"/>
    <col min="2" max="2" width="21.140625" customWidth="1"/>
    <col min="3" max="3" width="10" customWidth="1"/>
    <col min="4" max="4" width="15.85546875" customWidth="1"/>
  </cols>
  <sheetData>
    <row r="1" spans="1:4" ht="18.75">
      <c r="A1" s="382" t="s">
        <v>403</v>
      </c>
      <c r="B1" s="383"/>
      <c r="C1" s="383"/>
      <c r="D1" s="384"/>
    </row>
    <row r="2" spans="1:4">
      <c r="A2" s="391" t="s">
        <v>261</v>
      </c>
      <c r="B2" s="392"/>
      <c r="C2" s="392"/>
      <c r="D2" s="393"/>
    </row>
    <row r="3" spans="1:4" ht="22.5" customHeight="1">
      <c r="A3" s="391" t="s">
        <v>262</v>
      </c>
      <c r="B3" s="392"/>
      <c r="C3" s="392"/>
      <c r="D3" s="393"/>
    </row>
    <row r="4" spans="1:4">
      <c r="A4" s="210" t="s">
        <v>264</v>
      </c>
      <c r="B4" s="210" t="s">
        <v>37</v>
      </c>
      <c r="C4" s="210"/>
      <c r="D4" s="210"/>
    </row>
    <row r="5" spans="1:4" ht="21.75" customHeight="1">
      <c r="A5" s="213" t="s">
        <v>265</v>
      </c>
      <c r="B5" s="213"/>
      <c r="C5" s="213"/>
      <c r="D5" s="210" t="s">
        <v>266</v>
      </c>
    </row>
    <row r="6" spans="1:4">
      <c r="A6" s="210" t="s">
        <v>268</v>
      </c>
      <c r="B6" s="210">
        <v>23.36</v>
      </c>
      <c r="C6" s="210" t="s">
        <v>381</v>
      </c>
      <c r="D6" s="210"/>
    </row>
    <row r="7" spans="1:4">
      <c r="A7" s="210" t="s">
        <v>270</v>
      </c>
      <c r="B7" s="210">
        <v>0.02</v>
      </c>
      <c r="C7" s="210" t="s">
        <v>382</v>
      </c>
      <c r="D7" s="211">
        <v>4.0000000000000002E-4</v>
      </c>
    </row>
    <row r="8" spans="1:4">
      <c r="A8" s="210" t="s">
        <v>14</v>
      </c>
      <c r="B8" s="210">
        <v>5.0000000000000001E-3</v>
      </c>
      <c r="C8" s="210" t="s">
        <v>382</v>
      </c>
      <c r="D8" s="211">
        <v>2.0000000000000001E-4</v>
      </c>
    </row>
    <row r="9" spans="1:4">
      <c r="A9" s="210" t="s">
        <v>16</v>
      </c>
      <c r="B9" s="210">
        <v>0.01</v>
      </c>
      <c r="C9" s="210" t="s">
        <v>382</v>
      </c>
      <c r="D9" s="211">
        <v>2.9999999999999997E-4</v>
      </c>
    </row>
    <row r="10" spans="1:4">
      <c r="A10" s="210" t="s">
        <v>274</v>
      </c>
      <c r="B10" s="210">
        <v>0</v>
      </c>
      <c r="C10" s="210" t="s">
        <v>382</v>
      </c>
      <c r="D10" s="212">
        <v>0</v>
      </c>
    </row>
    <row r="11" spans="1:4">
      <c r="A11" s="210" t="s">
        <v>20</v>
      </c>
      <c r="B11" s="210">
        <v>3.31</v>
      </c>
      <c r="C11" s="210" t="s">
        <v>383</v>
      </c>
      <c r="D11" s="211">
        <v>1.0999999999999999E-2</v>
      </c>
    </row>
    <row r="12" spans="1:4">
      <c r="A12" s="210" t="s">
        <v>22</v>
      </c>
      <c r="B12" s="210">
        <v>176.89</v>
      </c>
      <c r="C12" s="210" t="s">
        <v>383</v>
      </c>
      <c r="D12" s="211">
        <v>8.8400000000000006E-2</v>
      </c>
    </row>
    <row r="13" spans="1:4" ht="27">
      <c r="A13" s="210" t="s">
        <v>24</v>
      </c>
      <c r="B13" s="210">
        <v>5.6</v>
      </c>
      <c r="C13" s="210" t="s">
        <v>382</v>
      </c>
      <c r="D13" s="211">
        <v>2.24E-2</v>
      </c>
    </row>
    <row r="14" spans="1:4">
      <c r="A14" s="210" t="s">
        <v>26</v>
      </c>
      <c r="B14" s="210">
        <v>0.31</v>
      </c>
      <c r="C14" s="210" t="s">
        <v>382</v>
      </c>
      <c r="D14" s="211">
        <v>8.3000000000000001E-3</v>
      </c>
    </row>
    <row r="15" spans="1:4">
      <c r="A15" s="210" t="s">
        <v>277</v>
      </c>
      <c r="B15" s="210">
        <v>4.9400000000000004</v>
      </c>
      <c r="C15" s="210" t="s">
        <v>382</v>
      </c>
      <c r="D15" s="211">
        <v>1.9800000000000002E-2</v>
      </c>
    </row>
    <row r="16" spans="1:4" ht="27">
      <c r="A16" s="210" t="s">
        <v>30</v>
      </c>
      <c r="B16" s="210">
        <v>4.3899999999999997</v>
      </c>
      <c r="C16" s="210" t="s">
        <v>382</v>
      </c>
      <c r="D16" s="211">
        <v>1.7600000000000001E-2</v>
      </c>
    </row>
    <row r="17" spans="1:4">
      <c r="A17" s="210" t="s">
        <v>279</v>
      </c>
      <c r="B17" s="210">
        <v>0.19</v>
      </c>
      <c r="C17" s="210" t="s">
        <v>382</v>
      </c>
      <c r="D17" s="211">
        <v>1.6000000000000001E-3</v>
      </c>
    </row>
    <row r="18" spans="1:4" ht="18.75" customHeight="1">
      <c r="A18" s="388" t="s">
        <v>281</v>
      </c>
      <c r="B18" s="389"/>
      <c r="C18" s="389"/>
      <c r="D18" s="390"/>
    </row>
    <row r="19" spans="1:4" ht="15.75" customHeight="1" thickBot="1">
      <c r="A19" s="385" t="s">
        <v>282</v>
      </c>
      <c r="B19" s="386"/>
      <c r="C19" s="386"/>
      <c r="D19" s="387"/>
    </row>
  </sheetData>
  <mergeCells count="5">
    <mergeCell ref="A1:D1"/>
    <mergeCell ref="A19:D19"/>
    <mergeCell ref="A18:D18"/>
    <mergeCell ref="A2:D2"/>
    <mergeCell ref="A3:D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2B33-50A7-4C65-AABC-E827FAA92AE1}">
  <dimension ref="A1:D20"/>
  <sheetViews>
    <sheetView workbookViewId="0">
      <selection activeCell="J13" sqref="J13"/>
    </sheetView>
  </sheetViews>
  <sheetFormatPr defaultRowHeight="15"/>
  <cols>
    <col min="1" max="1" width="37.140625" customWidth="1"/>
    <col min="2" max="2" width="9.5703125" customWidth="1"/>
    <col min="4" max="4" width="14.85546875" customWidth="1"/>
  </cols>
  <sheetData>
    <row r="1" spans="1:4">
      <c r="A1" s="394" t="s">
        <v>404</v>
      </c>
      <c r="B1" s="395"/>
      <c r="C1" s="395"/>
      <c r="D1" s="396"/>
    </row>
    <row r="2" spans="1:4">
      <c r="A2" s="39" t="s">
        <v>261</v>
      </c>
      <c r="B2" s="39"/>
      <c r="C2" s="39"/>
      <c r="D2" s="39"/>
    </row>
    <row r="3" spans="1:4">
      <c r="A3" s="39" t="s">
        <v>262</v>
      </c>
      <c r="B3" s="39" t="s">
        <v>297</v>
      </c>
      <c r="C3" s="39"/>
      <c r="D3" s="39"/>
    </row>
    <row r="4" spans="1:4">
      <c r="A4" s="39" t="s">
        <v>264</v>
      </c>
      <c r="B4" s="39" t="s">
        <v>37</v>
      </c>
      <c r="C4" s="39"/>
      <c r="D4" s="39"/>
    </row>
    <row r="5" spans="1:4">
      <c r="A5" s="39" t="s">
        <v>265</v>
      </c>
      <c r="B5" s="39"/>
      <c r="C5" s="39"/>
      <c r="D5" s="39" t="s">
        <v>266</v>
      </c>
    </row>
    <row r="6" spans="1:4">
      <c r="A6" s="39"/>
      <c r="B6" s="39"/>
      <c r="C6" s="39"/>
      <c r="D6" s="39" t="s">
        <v>267</v>
      </c>
    </row>
    <row r="7" spans="1:4">
      <c r="A7" s="39" t="s">
        <v>268</v>
      </c>
      <c r="B7" s="39">
        <v>44.8</v>
      </c>
      <c r="C7" s="39" t="s">
        <v>381</v>
      </c>
      <c r="D7" s="39"/>
    </row>
    <row r="8" spans="1:4">
      <c r="A8" s="39" t="s">
        <v>270</v>
      </c>
      <c r="B8" s="39">
        <v>0.27</v>
      </c>
      <c r="C8" s="39" t="s">
        <v>382</v>
      </c>
      <c r="D8" s="42">
        <v>4.7999999999999996E-3</v>
      </c>
    </row>
    <row r="9" spans="1:4">
      <c r="A9" s="39" t="s">
        <v>14</v>
      </c>
      <c r="B9" s="39">
        <v>0.01</v>
      </c>
      <c r="C9" s="39" t="s">
        <v>382</v>
      </c>
      <c r="D9" s="42">
        <v>6.9999999999999999E-4</v>
      </c>
    </row>
    <row r="10" spans="1:4">
      <c r="A10" s="39" t="s">
        <v>16</v>
      </c>
      <c r="B10" s="39">
        <v>0.24</v>
      </c>
      <c r="C10" s="39" t="s">
        <v>382</v>
      </c>
      <c r="D10" s="42">
        <v>7.9000000000000008E-3</v>
      </c>
    </row>
    <row r="11" spans="1:4">
      <c r="A11" s="39" t="s">
        <v>274</v>
      </c>
      <c r="B11" s="39">
        <v>0</v>
      </c>
      <c r="C11" s="39" t="s">
        <v>382</v>
      </c>
      <c r="D11" s="41">
        <v>0</v>
      </c>
    </row>
    <row r="12" spans="1:4">
      <c r="A12" s="39" t="s">
        <v>20</v>
      </c>
      <c r="B12" s="39">
        <v>0</v>
      </c>
      <c r="C12" s="39" t="s">
        <v>383</v>
      </c>
      <c r="D12" s="41">
        <v>0</v>
      </c>
    </row>
    <row r="13" spans="1:4">
      <c r="A13" s="39" t="s">
        <v>22</v>
      </c>
      <c r="B13" s="39">
        <v>181</v>
      </c>
      <c r="C13" s="39" t="s">
        <v>383</v>
      </c>
      <c r="D13" s="42">
        <v>9.0499999999999997E-2</v>
      </c>
    </row>
    <row r="14" spans="1:4">
      <c r="A14" s="39" t="s">
        <v>24</v>
      </c>
      <c r="B14" s="39">
        <v>10.4</v>
      </c>
      <c r="C14" s="39" t="s">
        <v>382</v>
      </c>
      <c r="D14" s="42">
        <v>4.1599999999999998E-2</v>
      </c>
    </row>
    <row r="15" spans="1:4">
      <c r="A15" s="39" t="s">
        <v>26</v>
      </c>
      <c r="B15" s="39">
        <v>0.18</v>
      </c>
      <c r="C15" s="39" t="s">
        <v>382</v>
      </c>
      <c r="D15" s="42">
        <v>4.7999999999999996E-3</v>
      </c>
    </row>
    <row r="16" spans="1:4">
      <c r="A16" s="39" t="s">
        <v>277</v>
      </c>
      <c r="B16" s="39">
        <v>9.85</v>
      </c>
      <c r="C16" s="39" t="s">
        <v>382</v>
      </c>
      <c r="D16" s="42">
        <v>3.9399999999999998E-2</v>
      </c>
    </row>
    <row r="17" spans="1:4">
      <c r="A17" s="39" t="s">
        <v>30</v>
      </c>
      <c r="B17" s="39">
        <v>1.98</v>
      </c>
      <c r="C17" s="39" t="s">
        <v>382</v>
      </c>
      <c r="D17" s="42">
        <v>7.9000000000000008E-3</v>
      </c>
    </row>
    <row r="18" spans="1:4">
      <c r="A18" s="39" t="s">
        <v>279</v>
      </c>
      <c r="B18" s="39">
        <v>0.2</v>
      </c>
      <c r="C18" s="39" t="s">
        <v>382</v>
      </c>
      <c r="D18" s="42">
        <v>1.6000000000000001E-3</v>
      </c>
    </row>
    <row r="19" spans="1:4">
      <c r="A19" s="397" t="s">
        <v>281</v>
      </c>
      <c r="B19" s="398"/>
      <c r="C19" s="398"/>
      <c r="D19" s="399"/>
    </row>
    <row r="20" spans="1:4" ht="15.75" thickBot="1">
      <c r="A20" s="400" t="s">
        <v>282</v>
      </c>
      <c r="B20" s="401"/>
      <c r="C20" s="401"/>
      <c r="D20" s="402"/>
    </row>
  </sheetData>
  <mergeCells count="3">
    <mergeCell ref="A1:D1"/>
    <mergeCell ref="A19:D19"/>
    <mergeCell ref="A20:D2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A854-FC6C-465A-BA79-4813A476D5C7}">
  <dimension ref="A1:D20"/>
  <sheetViews>
    <sheetView workbookViewId="0">
      <selection activeCell="D8" sqref="D8"/>
    </sheetView>
  </sheetViews>
  <sheetFormatPr defaultRowHeight="15"/>
  <cols>
    <col min="1" max="1" width="40.42578125" customWidth="1"/>
    <col min="2" max="2" width="10.85546875" customWidth="1"/>
    <col min="4" max="4" width="16.42578125" customWidth="1"/>
  </cols>
  <sheetData>
    <row r="1" spans="1:4">
      <c r="A1" s="394" t="s">
        <v>405</v>
      </c>
      <c r="B1" s="395"/>
      <c r="C1" s="395"/>
      <c r="D1" s="396"/>
    </row>
    <row r="2" spans="1:4">
      <c r="A2" s="40" t="s">
        <v>261</v>
      </c>
      <c r="B2" s="40"/>
      <c r="C2" s="40"/>
      <c r="D2" s="40"/>
    </row>
    <row r="3" spans="1:4">
      <c r="A3" s="40" t="s">
        <v>262</v>
      </c>
      <c r="B3" s="39" t="s">
        <v>297</v>
      </c>
      <c r="C3" s="39"/>
      <c r="D3" s="39"/>
    </row>
    <row r="4" spans="1:4">
      <c r="A4" s="40" t="s">
        <v>264</v>
      </c>
      <c r="B4" s="39" t="s">
        <v>37</v>
      </c>
      <c r="C4" s="39"/>
      <c r="D4" s="39"/>
    </row>
    <row r="5" spans="1:4">
      <c r="A5" s="40" t="s">
        <v>265</v>
      </c>
      <c r="B5" s="39"/>
      <c r="C5" s="39"/>
      <c r="D5" s="39" t="s">
        <v>266</v>
      </c>
    </row>
    <row r="6" spans="1:4">
      <c r="A6" s="40"/>
      <c r="B6" s="39"/>
      <c r="C6" s="39"/>
      <c r="D6" s="39" t="s">
        <v>267</v>
      </c>
    </row>
    <row r="7" spans="1:4">
      <c r="A7" s="40" t="s">
        <v>268</v>
      </c>
      <c r="B7" s="39">
        <v>20.7</v>
      </c>
      <c r="C7" s="39" t="s">
        <v>381</v>
      </c>
      <c r="D7" s="39"/>
    </row>
    <row r="8" spans="1:4">
      <c r="A8" s="40" t="s">
        <v>270</v>
      </c>
      <c r="B8" s="39">
        <v>0.06</v>
      </c>
      <c r="C8" s="39" t="s">
        <v>382</v>
      </c>
      <c r="D8" s="42">
        <v>1.1000000000000001E-3</v>
      </c>
    </row>
    <row r="9" spans="1:4">
      <c r="A9" s="40" t="s">
        <v>14</v>
      </c>
      <c r="B9" s="39">
        <v>4.0000000000000001E-3</v>
      </c>
      <c r="C9" s="39" t="s">
        <v>382</v>
      </c>
      <c r="D9" s="42">
        <v>2.0000000000000001E-4</v>
      </c>
    </row>
    <row r="10" spans="1:4">
      <c r="A10" s="40" t="s">
        <v>16</v>
      </c>
      <c r="B10" s="39">
        <v>0.04</v>
      </c>
      <c r="C10" s="39" t="s">
        <v>382</v>
      </c>
      <c r="D10" s="42">
        <v>1.2999999999999999E-3</v>
      </c>
    </row>
    <row r="11" spans="1:4">
      <c r="A11" s="40" t="s">
        <v>274</v>
      </c>
      <c r="B11" s="39">
        <v>0</v>
      </c>
      <c r="C11" s="39" t="s">
        <v>382</v>
      </c>
      <c r="D11" s="41">
        <v>0</v>
      </c>
    </row>
    <row r="12" spans="1:4">
      <c r="A12" s="40" t="s">
        <v>20</v>
      </c>
      <c r="B12" s="39">
        <v>1.47</v>
      </c>
      <c r="C12" s="39" t="s">
        <v>383</v>
      </c>
      <c r="D12" s="42">
        <v>4.8999999999999998E-3</v>
      </c>
    </row>
    <row r="13" spans="1:4">
      <c r="A13" s="40" t="s">
        <v>22</v>
      </c>
      <c r="B13" s="39">
        <v>196.88</v>
      </c>
      <c r="C13" s="39" t="s">
        <v>383</v>
      </c>
      <c r="D13" s="42">
        <v>9.8400000000000001E-2</v>
      </c>
    </row>
    <row r="14" spans="1:4">
      <c r="A14" s="40" t="s">
        <v>24</v>
      </c>
      <c r="B14" s="39">
        <v>4.87</v>
      </c>
      <c r="C14" s="39" t="s">
        <v>382</v>
      </c>
      <c r="D14" s="42">
        <v>1.95E-2</v>
      </c>
    </row>
    <row r="15" spans="1:4">
      <c r="A15" s="40" t="s">
        <v>26</v>
      </c>
      <c r="B15" s="39">
        <v>0.2</v>
      </c>
      <c r="C15" s="39" t="s">
        <v>382</v>
      </c>
      <c r="D15" s="42">
        <v>5.5999999999999999E-3</v>
      </c>
    </row>
    <row r="16" spans="1:4">
      <c r="A16" s="40" t="s">
        <v>277</v>
      </c>
      <c r="B16" s="39">
        <v>4.2</v>
      </c>
      <c r="C16" s="39" t="s">
        <v>382</v>
      </c>
      <c r="D16" s="42">
        <v>1.66E-2</v>
      </c>
    </row>
    <row r="17" spans="1:4">
      <c r="A17" s="40" t="s">
        <v>30</v>
      </c>
      <c r="B17" s="39">
        <v>2.4</v>
      </c>
      <c r="C17" s="39" t="s">
        <v>382</v>
      </c>
      <c r="D17" s="42">
        <v>9.7000000000000003E-3</v>
      </c>
    </row>
    <row r="18" spans="1:4">
      <c r="A18" s="40" t="s">
        <v>279</v>
      </c>
      <c r="B18" s="39">
        <v>0.17</v>
      </c>
      <c r="C18" s="39" t="s">
        <v>382</v>
      </c>
      <c r="D18" s="42">
        <v>1.4E-3</v>
      </c>
    </row>
    <row r="19" spans="1:4">
      <c r="A19" s="397" t="s">
        <v>281</v>
      </c>
      <c r="B19" s="398"/>
      <c r="C19" s="398"/>
      <c r="D19" s="399"/>
    </row>
    <row r="20" spans="1:4" ht="15.75" thickBot="1">
      <c r="A20" s="400" t="s">
        <v>282</v>
      </c>
      <c r="B20" s="401"/>
      <c r="C20" s="401"/>
      <c r="D20" s="402"/>
    </row>
  </sheetData>
  <mergeCells count="3">
    <mergeCell ref="A19:D19"/>
    <mergeCell ref="A20:D20"/>
    <mergeCell ref="A1:D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C95E-55CB-431C-9246-6A0FEE59CDD9}">
  <dimension ref="A1:D20"/>
  <sheetViews>
    <sheetView workbookViewId="0">
      <selection activeCell="A5" sqref="A5:A6"/>
    </sheetView>
  </sheetViews>
  <sheetFormatPr defaultRowHeight="15"/>
  <cols>
    <col min="1" max="1" width="46.7109375" customWidth="1"/>
    <col min="2" max="2" width="15.28515625" customWidth="1"/>
    <col min="4" max="4" width="15.42578125" customWidth="1"/>
  </cols>
  <sheetData>
    <row r="1" spans="1:4" ht="31.5" customHeight="1">
      <c r="A1" s="409" t="s">
        <v>407</v>
      </c>
      <c r="B1" s="410"/>
      <c r="C1" s="410"/>
      <c r="D1" s="411"/>
    </row>
    <row r="2" spans="1:4" ht="30" customHeight="1">
      <c r="A2" s="403" t="s">
        <v>261</v>
      </c>
      <c r="B2" s="404"/>
      <c r="C2" s="404"/>
      <c r="D2" s="405"/>
    </row>
    <row r="3" spans="1:4" ht="36" customHeight="1">
      <c r="A3" s="232" t="s">
        <v>262</v>
      </c>
      <c r="B3" s="207" t="s">
        <v>297</v>
      </c>
      <c r="C3" s="207"/>
      <c r="D3" s="233"/>
    </row>
    <row r="4" spans="1:4" ht="30.75" customHeight="1">
      <c r="A4" s="232" t="s">
        <v>264</v>
      </c>
      <c r="B4" s="207" t="s">
        <v>37</v>
      </c>
      <c r="C4" s="207"/>
      <c r="D4" s="233"/>
    </row>
    <row r="5" spans="1:4" ht="16.5" customHeight="1">
      <c r="A5" s="412" t="s">
        <v>265</v>
      </c>
      <c r="B5" s="381"/>
      <c r="C5" s="381"/>
      <c r="D5" s="233" t="s">
        <v>266</v>
      </c>
    </row>
    <row r="6" spans="1:4" ht="14.25" customHeight="1">
      <c r="A6" s="412"/>
      <c r="B6" s="381"/>
      <c r="C6" s="381"/>
      <c r="D6" s="233" t="s">
        <v>267</v>
      </c>
    </row>
    <row r="7" spans="1:4" ht="27.75" customHeight="1">
      <c r="A7" s="232" t="s">
        <v>268</v>
      </c>
      <c r="B7" s="207">
        <v>43</v>
      </c>
      <c r="C7" s="207" t="s">
        <v>381</v>
      </c>
      <c r="D7" s="233"/>
    </row>
    <row r="8" spans="1:4" ht="22.5" customHeight="1">
      <c r="A8" s="232" t="s">
        <v>270</v>
      </c>
      <c r="B8" s="207">
        <v>3.05</v>
      </c>
      <c r="C8" s="207" t="s">
        <v>382</v>
      </c>
      <c r="D8" s="234">
        <v>5.5E-2</v>
      </c>
    </row>
    <row r="9" spans="1:4" ht="18" customHeight="1">
      <c r="A9" s="232" t="s">
        <v>14</v>
      </c>
      <c r="B9" s="207">
        <v>0.48</v>
      </c>
      <c r="C9" s="207" t="s">
        <v>382</v>
      </c>
      <c r="D9" s="234">
        <v>2.4E-2</v>
      </c>
    </row>
    <row r="10" spans="1:4" ht="22.5" customHeight="1">
      <c r="A10" s="232" t="s">
        <v>16</v>
      </c>
      <c r="B10" s="207">
        <v>2.5</v>
      </c>
      <c r="C10" s="207" t="s">
        <v>382</v>
      </c>
      <c r="D10" s="234">
        <v>8.3000000000000004E-2</v>
      </c>
    </row>
    <row r="11" spans="1:4" ht="21" customHeight="1">
      <c r="A11" s="232" t="s">
        <v>274</v>
      </c>
      <c r="B11" s="207">
        <v>0</v>
      </c>
      <c r="C11" s="207" t="s">
        <v>382</v>
      </c>
      <c r="D11" s="235">
        <v>0</v>
      </c>
    </row>
    <row r="12" spans="1:4" ht="17.25" customHeight="1">
      <c r="A12" s="232" t="s">
        <v>20</v>
      </c>
      <c r="B12" s="207">
        <v>0</v>
      </c>
      <c r="C12" s="207" t="s">
        <v>383</v>
      </c>
      <c r="D12" s="235">
        <v>0</v>
      </c>
    </row>
    <row r="13" spans="1:4" ht="19.5" customHeight="1">
      <c r="A13" s="232" t="s">
        <v>22</v>
      </c>
      <c r="B13" s="207">
        <v>189</v>
      </c>
      <c r="C13" s="207" t="s">
        <v>383</v>
      </c>
      <c r="D13" s="234">
        <v>9.4299999999999995E-2</v>
      </c>
    </row>
    <row r="14" spans="1:4" ht="23.25" customHeight="1">
      <c r="A14" s="232" t="s">
        <v>24</v>
      </c>
      <c r="B14" s="207">
        <v>3.9</v>
      </c>
      <c r="C14" s="207" t="s">
        <v>382</v>
      </c>
      <c r="D14" s="234">
        <v>1.4999999999999999E-2</v>
      </c>
    </row>
    <row r="15" spans="1:4" ht="30" customHeight="1">
      <c r="A15" s="232" t="s">
        <v>26</v>
      </c>
      <c r="B15" s="207">
        <v>0.1</v>
      </c>
      <c r="C15" s="207" t="s">
        <v>382</v>
      </c>
      <c r="D15" s="234">
        <v>2.7000000000000001E-3</v>
      </c>
    </row>
    <row r="16" spans="1:4" ht="22.5" customHeight="1">
      <c r="A16" s="232" t="s">
        <v>277</v>
      </c>
      <c r="B16" s="207">
        <v>2.8</v>
      </c>
      <c r="C16" s="207" t="s">
        <v>382</v>
      </c>
      <c r="D16" s="234">
        <v>1.0999999999999999E-2</v>
      </c>
    </row>
    <row r="17" spans="1:4" ht="27" customHeight="1">
      <c r="A17" s="232" t="s">
        <v>30</v>
      </c>
      <c r="B17" s="207">
        <v>3</v>
      </c>
      <c r="C17" s="207" t="s">
        <v>382</v>
      </c>
      <c r="D17" s="235">
        <v>0.01</v>
      </c>
    </row>
    <row r="18" spans="1:4" ht="24" customHeight="1">
      <c r="A18" s="232" t="s">
        <v>279</v>
      </c>
      <c r="B18" s="207">
        <v>0.1</v>
      </c>
      <c r="C18" s="207" t="s">
        <v>382</v>
      </c>
      <c r="D18" s="234">
        <v>5.0000000000000001E-4</v>
      </c>
    </row>
    <row r="19" spans="1:4" ht="35.25" customHeight="1">
      <c r="A19" s="403" t="s">
        <v>281</v>
      </c>
      <c r="B19" s="404"/>
      <c r="C19" s="404"/>
      <c r="D19" s="405"/>
    </row>
    <row r="20" spans="1:4" ht="33.75" customHeight="1" thickBot="1">
      <c r="A20" s="406" t="s">
        <v>282</v>
      </c>
      <c r="B20" s="407"/>
      <c r="C20" s="407"/>
      <c r="D20" s="408"/>
    </row>
  </sheetData>
  <mergeCells count="7">
    <mergeCell ref="A19:D19"/>
    <mergeCell ref="A20:D20"/>
    <mergeCell ref="A1:D1"/>
    <mergeCell ref="A2:D2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ظرف</vt:lpstr>
      <vt:lpstr>pet كاتشب</vt:lpstr>
      <vt:lpstr>chocolate cream bandito</vt:lpstr>
      <vt:lpstr>Tahini Sauce With Pickled lemon</vt:lpstr>
      <vt:lpstr>Tahini Sauce With green papper</vt:lpstr>
      <vt:lpstr>Tahini Sauce With Chili</vt:lpstr>
      <vt:lpstr>Tahini Sauce With Garlic</vt:lpstr>
      <vt:lpstr>Tahini Sauce Classic</vt:lpstr>
      <vt:lpstr>  Pomegranate molasses</vt:lpstr>
      <vt:lpstr>pet bbq</vt:lpstr>
      <vt:lpstr>MAYO CLS PET</vt:lpstr>
      <vt:lpstr>MAYO SAND PET</vt:lpstr>
      <vt:lpstr>Hot Sauce</vt:lpstr>
      <vt:lpstr>Texas PET</vt:lpstr>
      <vt:lpstr>Liquid Smoke Garlic Herbs</vt:lpstr>
      <vt:lpstr>Liquid Smoke Fish </vt:lpstr>
      <vt:lpstr>Liquid Smoke Hickory</vt:lpstr>
      <vt:lpstr> Fire Sauce PET</vt:lpstr>
      <vt:lpstr>Ranch PET</vt:lpstr>
      <vt:lpstr> Texas Vegan Lavida </vt:lpstr>
      <vt:lpstr>  Thousand Island</vt:lpstr>
      <vt:lpstr>spicy Ketchup</vt:lpstr>
      <vt:lpstr>MAYO PET</vt:lpstr>
      <vt:lpstr>Sweet Chilli PET</vt:lpstr>
      <vt:lpstr>Pizza PET</vt:lpstr>
      <vt:lpstr>Rizo</vt:lpstr>
      <vt:lpstr>Harrissa</vt:lpstr>
      <vt:lpstr>Toumaya </vt:lpstr>
      <vt:lpstr>Mayochup </vt:lpstr>
      <vt:lpstr>  Pickled Lemon</vt:lpstr>
      <vt:lpstr>Mustard</vt:lpstr>
      <vt:lpstr>Mexican</vt:lpstr>
      <vt:lpstr>liquid Smoke Beef</vt:lpstr>
      <vt:lpstr>liquid Smoke Chicken</vt:lpstr>
      <vt:lpstr>chili mayo</vt:lpstr>
      <vt:lpstr>Fava beans</vt:lpstr>
      <vt:lpstr>Mayo Honey Mustard</vt:lpstr>
      <vt:lpstr>Honey Mustard</vt:lpstr>
      <vt:lpstr>Thai  Chili</vt:lpstr>
      <vt:lpstr>Coleslaw Sauce</vt:lpstr>
      <vt:lpstr>ketchup buttels</vt:lpstr>
      <vt:lpstr>Algerienne Sauce</vt:lpstr>
      <vt:lpstr>horseradish sauce</vt:lpstr>
      <vt:lpstr> كاتشب امريكا KEA003</vt:lpstr>
      <vt:lpstr>Honey mustard Amrica</vt:lpstr>
      <vt:lpstr>PINAPPLE BBQ</vt:lpstr>
      <vt:lpstr>Samourai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feras</dc:creator>
  <cp:keywords/>
  <dc:description/>
  <cp:lastModifiedBy>Omnia Alaa</cp:lastModifiedBy>
  <cp:revision/>
  <dcterms:created xsi:type="dcterms:W3CDTF">2024-12-10T10:57:42Z</dcterms:created>
  <dcterms:modified xsi:type="dcterms:W3CDTF">2025-11-17T15:04:39Z</dcterms:modified>
  <cp:category/>
  <cp:contentStatus/>
</cp:coreProperties>
</file>